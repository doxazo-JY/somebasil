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lsud\Documents\카카오톡 받은 파일\"/>
    </mc:Choice>
  </mc:AlternateContent>
  <xr:revisionPtr revIDLastSave="0" documentId="13_ncr:1_{F2B397EA-D661-493A-AB2A-068DC46B4066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README" sheetId="1" r:id="rId1"/>
    <sheet name="재료" sheetId="2" r:id="rId2"/>
    <sheet name="서브레시피" sheetId="3" r:id="rId3"/>
    <sheet name="레시피" sheetId="4" r:id="rId4"/>
    <sheet name="포장세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<sst xmlns="http://schemas.openxmlformats.org/spreadsheetml/2006/main">
  <si>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썸바실 레시피·원가 입력 양식 (v5)</t>
  </si>
  <si>
    <t>━━━━━━━━━━━━━━━━━━━━━━━━━━━━━━━━━━━━━━━━</t>
  </si>
  <si>
    <t>■ 받으면 이렇게 시작하세요 (예상 1.5~2시간)</t>
  </si>
  <si>
    <t xml:space="preserve">  ① 시트1 매입재료 가격 채우기 (30분)</t>
  </si>
  <si>
    <t xml:space="preserve">     - 진노랑 ❓ 칸에 (1세트 용량 / 세트 수 / 총가격) 입력</t>
  </si>
  <si>
    <t xml:space="preserve">     - 영수증·통장 거래내역 보면서. 단가는 자동 계산됨</t>
  </si>
  <si>
    <t xml:space="preserve">     - 예: 원두 1kg봉지 2개=70,000원 → 1000 / 2 / 70000</t>
  </si>
  <si>
    <t xml:space="preserve">  ② 시트3 메뉴별 잔당 사용량 채우기 (30~40분)</t>
  </si>
  <si>
    <t xml:space="preserve">     - 진노랑 ❓ 칸에 메뉴 1잔에 들어가는 재료 g/펌프/개 입력</t>
  </si>
  <si>
    <t xml:space="preserve">     - 매장 매뉴얼 그대로. PDF에서 채운 부분은 확인만</t>
  </si>
  <si>
    <t xml:space="preserve">     - 연두색 행 = PDF 미수록 신메뉴, 새로 적어야 함</t>
  </si>
  <si>
    <t xml:space="preserve">  ③ 시트2 청·크림류 1배치 채우기 (20분)</t>
  </si>
  <si>
    <t xml:space="preserve">     - 자몽청·딸기청·말차크림 등 한 번 만들 때 N g 만들고</t>
  </si>
  <si>
    <t xml:space="preserve">       그 안에 원물 N g + 설탕 N g 들어가는지</t>
  </si>
  <si>
    <t xml:space="preserve">     - 자몽청·말차크림 행에 '(예시)' 샘플이 옅은 파랑으로 채워져 있음. 패턴 참고</t>
  </si>
  <si>
    <t xml:space="preserve">  ④ 시트2 베이커리·디저트 채우기 (20분)</t>
  </si>
  <si>
    <t xml:space="preserve">     - 베이글·스콘·마들렌·호두파이·초코쿠키·바스크치즈케익·드립백·더치원액</t>
  </si>
  <si>
    <t xml:space="preserve">     - '한 번에 N개 만들고 그 때 밀가루 N g + 버터 N g + ...'</t>
  </si>
  <si>
    <t xml:space="preserve">     - 정확히 모르면 대략으로라도. 비워두면 그 메뉴 원가 계산 불가</t>
  </si>
  <si>
    <t xml:space="preserve">  ⑤ (시간 되면) 회색 ❓ 메모 + 자유 추가</t>
  </si>
  <si>
    <t xml:space="preserve">     - 회색은 정책 확인 / 이름 매칭 등 보조 정보 — 없어도 원가는 나옴</t>
  </si>
  <si>
    <t xml:space="preserve">     - 분홍색 빈 행은 빠진 재료 자유 추가 영역</t>
  </si>
  <si>
    <t>■ 색깔 의미</t>
  </si>
  <si>
    <t xml:space="preserve">  • 진노랑 ❓     : ★ 필수 — 채우지 않으면 그 메뉴 원가 계산 불가</t>
  </si>
  <si>
    <t xml:space="preserve">  • 연회색 ❓ 텍스트: 선택 — 정책 확인·이름 매칭 등 보조 정보</t>
  </si>
  <si>
    <t xml:space="preserve">  • 옅은 파랑     : 예시 샘플 (자몽청·말차크림) — 실제 값으로 교체</t>
  </si>
  <si>
    <t xml:space="preserve">  • 연두색 행 (시트3): DB에 있는데 PDF 미수록 — 새로 채워야 할 메뉴</t>
  </si>
  <si>
    <t xml:space="preserve">  • 연두색 셀 (시트1): 현금 결제 4종 — 거래 단위 추적 가능 그룹</t>
  </si>
  <si>
    <t xml:space="preserve">  • 분홍색 행 (시트1): 점장 자유 추가 영역 (빈 행)</t>
  </si>
  <si>
    <t>■ 시트 구성</t>
  </si>
  <si>
    <t xml:space="preserve">  1. 재료 — 매입재료/수제재료 마스터</t>
  </si>
  <si>
    <t xml:space="preserve">  2. 서브레시피 — 수제재료(청·크림·디저트·드립백 등) 1배치 배합</t>
  </si>
  <si>
    <t xml:space="preserve">  3. 레시피 — DB 활성 메뉴 66개 + 잔당 사용량</t>
  </si>
  <si>
    <t xml:space="preserve">  4. 포장세트 — 카테고리×온도별 포장재 묶음</t>
  </si>
  <si>
    <t>■ 결제방식 컬럼 (시트1)</t>
  </si>
  <si>
    <t xml:space="preserve">  • 현금: 통장 거래 단위로 찍히는 재료 (원두·우유·말차파우더·잠봉뵈르햄 4종)</t>
  </si>
  <si>
    <t xml:space="preserve">  • 카드: 쿠팡·이마트·씨유 등 묶음 결제</t>
  </si>
  <si>
    <t>■ 누락 재료/메뉴 직접 추가하는 방법</t>
  </si>
  <si>
    <t xml:space="preserve">  ① 시트1 매입재료 추가</t>
  </si>
  <si>
    <t xml:space="preserve">     - 분홍색 빈 행에 (재료명 / 사용단위 / 종류='매입' / 결제방식 / 1세트용량 / 세트수 / 총가격)</t>
  </si>
  <si>
    <t xml:space="preserve">     - 단가 수식은 분홍 행에 미리 들어가 있음</t>
  </si>
  <si>
    <t xml:space="preserve">  ② 시트1 수제재료 추가</t>
  </si>
  <si>
    <t xml:space="preserve">     - 분홍색 빈 행에 입력. 종류='수제'로</t>
  </si>
  <si>
    <t xml:space="preserve">     - 1세트용량/세트수/총가격은 '-' 그대로, 단가에 '(서브레시피 자동계산)' 입력</t>
  </si>
  <si>
    <t xml:space="preserve">     - 시트2 서브레시피에 1배치 산출량 + 구성재료 추가</t>
  </si>
  <si>
    <t xml:space="preserve">  ③ 시트3 메뉴/재료 추가</t>
  </si>
  <si>
    <t xml:space="preserve">     - 빈 행에 메뉴명 / 카테고리 / 재료명 / 사용량</t>
  </si>
  <si>
    <t xml:space="preserve">     - 한 메뉴에 재료 여러 개면 메뉴명 반복해서 행 여러 개로</t>
  </si>
  <si>
    <t xml:space="preserve">  ④ ★ 재료명은 시트1과 글자 그대로 일치해야 함</t>
  </si>
  <si>
    <t xml:space="preserve">     - 띄어쓰기·괄호 차이도 매칭 안됨</t>
  </si>
  <si>
    <t xml:space="preserve">     - 새 재료는 시트1에 먼저 등록 후 시트3에서 사용</t>
  </si>
  <si>
    <t>■ 입력 단위 안내</t>
  </si>
  <si>
    <t xml:space="preserve">  • g / ml: 무게/부피 그대로</t>
  </si>
  <si>
    <t xml:space="preserve">  • 펌프: 시럽 펌프 1회 (디스펜서 한 번 누름)</t>
  </si>
  <si>
    <t xml:space="preserve">  • 회: 토핑 1회 분사</t>
  </si>
  <si>
    <t xml:space="preserve">  • 개 / 조각: 그대로</t>
  </si>
  <si>
    <t xml:space="preserve">  • 사용량 단위 = 시트1의 '사용단위' 컬럼과 일치 (시트3·4에서)</t>
  </si>
  <si>
    <t>■ HOT/ICE·매장/포장 차이</t>
  </si>
  <si>
    <t xml:space="preserve">  • HOT/ICE는 한 레시피로 통합 (그람수 동일 가정 — PDF 기준)</t>
  </si>
  <si>
    <t xml:space="preserve">  • 매장/포장 사용량 다르면 '매장 HOT 기준'으로 입력 + 비고에 차이 메모</t>
  </si>
  <si>
    <t>■ 적용시작일</t>
  </si>
  <si>
    <t xml:space="preserve">  • 모든 행 = 2025-12-15 통일 (시스템 도입 기준일)</t>
  </si>
  <si>
    <t xml:space="preserve">  • 추후 가격 변동 시 새 행 추가 + 그 변경일 입력</t>
  </si>
  <si>
    <t>재료명</t>
  </si>
  <si>
    <t>사용단위</t>
  </si>
  <si>
    <t>종류</t>
  </si>
  <si>
    <t>결제방식</t>
  </si>
  <si>
    <t>1세트 용량</t>
  </si>
  <si>
    <t>세트 수</t>
  </si>
  <si>
    <t>총 가격(원)</t>
  </si>
  <si>
    <t>단가(자동)</t>
  </si>
  <si>
    <t>적용시작일</t>
  </si>
  <si>
    <t>비고</t>
  </si>
  <si>
    <t>원두</t>
  </si>
  <si>
    <t>g</t>
  </si>
  <si>
    <t>매입</t>
  </si>
  <si>
    <t>현금</t>
  </si>
  <si>
    <t>❓</t>
  </si>
  <si>
    <t>2025-12-15</t>
  </si>
  <si>
    <t>예: 1kg봉지×2개=70000원 → 1세트용량 1000, 세트수 2</t>
  </si>
  <si>
    <t>핸드드립 원두</t>
  </si>
  <si>
    <t>카드</t>
  </si>
  <si>
    <t>❓일반 원두와 별도 구매? 점장 확인</t>
  </si>
  <si>
    <t>우유</t>
  </si>
  <si>
    <t>PDF 기준 g (스팀 우유 무게)</t>
  </si>
  <si>
    <t>바닐라시럽</t>
  </si>
  <si>
    <t>펌프</t>
  </si>
  <si>
    <t>예: 1병=200펌프 환산</t>
  </si>
  <si>
    <t>초코시럽</t>
  </si>
  <si>
    <t>카라멜드리즐</t>
  </si>
  <si>
    <t>회</t>
  </si>
  <si>
    <t>토핑 1회분</t>
  </si>
  <si>
    <t>시나몬파우더</t>
  </si>
  <si>
    <t>토핑</t>
  </si>
  <si>
    <t>코코아파우더</t>
  </si>
  <si>
    <t>초코드리즐</t>
  </si>
  <si>
    <t>휘핑크림</t>
  </si>
  <si>
    <t>흑임자</t>
  </si>
  <si>
    <t>생크림</t>
  </si>
  <si>
    <t>말차파우더</t>
  </si>
  <si>
    <t>순수</t>
  </si>
  <si>
    <t>❓PDF '순수'의 정체 확인 필요</t>
  </si>
  <si>
    <t>복숭아시럽</t>
  </si>
  <si>
    <t>레몬시럽</t>
  </si>
  <si>
    <t>슈가시럽</t>
  </si>
  <si>
    <t>라임시럽</t>
  </si>
  <si>
    <t>TWG 레이디그레이 티백</t>
  </si>
  <si>
    <t>개</t>
  </si>
  <si>
    <t>종류별 단가 다름</t>
  </si>
  <si>
    <t>TWG 캐모마일 티백</t>
  </si>
  <si>
    <t>TWG 페퍼민트 티백</t>
  </si>
  <si>
    <t>팔레데떼 티백</t>
  </si>
  <si>
    <t>블루오브런던용</t>
  </si>
  <si>
    <t>로얄밀크티 티백</t>
  </si>
  <si>
    <t>탄산수</t>
  </si>
  <si>
    <t>ml</t>
  </si>
  <si>
    <t>아이스티 베이스</t>
  </si>
  <si>
    <t>❓시럽? 분말? 매입 형태 확인. 망고/복숭아아이스티 공통</t>
  </si>
  <si>
    <t>자몽</t>
  </si>
  <si>
    <t>레몬</t>
  </si>
  <si>
    <t>원물 + 가니쉬용</t>
  </si>
  <si>
    <t>사과</t>
  </si>
  <si>
    <t>청 + 슬라이스</t>
  </si>
  <si>
    <t>복숭아</t>
  </si>
  <si>
    <t>❓도원결의청용 추정</t>
  </si>
  <si>
    <t>패션푸르츠</t>
  </si>
  <si>
    <t>딸기</t>
  </si>
  <si>
    <t>봄딸기주스에 직접 사용</t>
  </si>
  <si>
    <t>오미자</t>
  </si>
  <si>
    <t>오미자청용 원물</t>
  </si>
  <si>
    <t>설탕</t>
  </si>
  <si>
    <t>청 + 베이커리</t>
  </si>
  <si>
    <t>잠봉뵈르햄</t>
  </si>
  <si>
    <t>버터</t>
  </si>
  <si>
    <t>조각</t>
  </si>
  <si>
    <t>PDF: 3조각</t>
  </si>
  <si>
    <t>할라피뇨</t>
  </si>
  <si>
    <t>어니언드레싱</t>
  </si>
  <si>
    <t>PDF '한바퀴' = 1펌프 추정</t>
  </si>
  <si>
    <t>선드라이토마토</t>
  </si>
  <si>
    <t>발사믹</t>
  </si>
  <si>
    <t>루꼴라</t>
  </si>
  <si>
    <t>크림치즈</t>
  </si>
  <si>
    <t>플레인 베이글 + 바스크 치즈케익 베이스</t>
  </si>
  <si>
    <t>마스카포네</t>
  </si>
  <si>
    <t>밀가루</t>
  </si>
  <si>
    <t>계란</t>
  </si>
  <si>
    <t>호두</t>
  </si>
  <si>
    <t>크로와상 생지</t>
  </si>
  <si>
    <t>크로와상 붕어빵용 (생지만 매입)</t>
  </si>
  <si>
    <t>팥</t>
  </si>
  <si>
    <t>❓크로와상 붕어빵 토핑? 점장 확인</t>
  </si>
  <si>
    <t>초콜릿</t>
  </si>
  <si>
    <t>❓초코쿠키용 (다크초콜릿/카카오?)</t>
  </si>
  <si>
    <t>라우치병 주스(딸기)</t>
  </si>
  <si>
    <t>매입 완제품</t>
  </si>
  <si>
    <t>라우치병 주스(망고)</t>
  </si>
  <si>
    <t>라우치병 주스(오렌지)</t>
  </si>
  <si>
    <t>14oz 핫컵</t>
  </si>
  <si>
    <t>14oz 콜드컵</t>
  </si>
  <si>
    <t>10oz 핫컵</t>
  </si>
  <si>
    <t>10oz 콜드컵</t>
  </si>
  <si>
    <t>핫컵 뚜껑</t>
  </si>
  <si>
    <t>콜드컵 뚜껑</t>
  </si>
  <si>
    <t>홀더</t>
  </si>
  <si>
    <t>포장병</t>
  </si>
  <si>
    <t>딸기라떼·바닐라빈밀크 ICE 포장용</t>
  </si>
  <si>
    <t>드립백 포장지</t>
  </si>
  <si>
    <t>드립백 1개당 포장지</t>
  </si>
  <si>
    <t>디저트 봉투</t>
  </si>
  <si>
    <t>자몽청</t>
  </si>
  <si>
    <t>수제</t>
  </si>
  <si>
    <t>-</t>
  </si>
  <si>
    <t>(서브레시피 자동계산)</t>
  </si>
  <si>
    <t>→ 시트2 서브레시피에 배합 입력</t>
  </si>
  <si>
    <t>레몬청</t>
  </si>
  <si>
    <t>→ 시트2</t>
  </si>
  <si>
    <t>패션푸르츠청</t>
  </si>
  <si>
    <t>사과청</t>
  </si>
  <si>
    <t>도원결의청</t>
  </si>
  <si>
    <t>→ 시트2 / ❓복숭아청?</t>
  </si>
  <si>
    <t>딸기청</t>
  </si>
  <si>
    <t>오미자청</t>
  </si>
  <si>
    <t>→ 시트2 / 오미자티용</t>
  </si>
  <si>
    <t>말차크림</t>
  </si>
  <si>
    <t>→ 시트2 / 말차티라미수용</t>
  </si>
  <si>
    <t>흑임자크림</t>
  </si>
  <si>
    <t>→ 시트2 (PDF 확정: 1배치 80g)</t>
  </si>
  <si>
    <t>티라미수베이스</t>
  </si>
  <si>
    <t>더치원액</t>
  </si>
  <si>
    <t>→ 시트2 / 더치커피·더치라떼·원액 판매 공통</t>
  </si>
  <si>
    <t>드립백</t>
  </si>
  <si>
    <t>→ 시트2 / 원두 갈아 1봉씩 포장</t>
  </si>
  <si>
    <t>초코쿠키</t>
  </si>
  <si>
    <t>→ 시트2 / 초코쿠키박스 + 구움과자세트</t>
  </si>
  <si>
    <t>바스크 치즈케익</t>
  </si>
  <si>
    <t>→ 시트2 (1판 → N조각)</t>
  </si>
  <si>
    <t>수제 베이글</t>
  </si>
  <si>
    <t>수제 스콘</t>
  </si>
  <si>
    <t>수제 마들렌</t>
  </si>
  <si>
    <t>수제 호두파이</t>
  </si>
  <si>
    <t>↓ 점장 자유 추가 영역 (빈 행에 입력) ↓</t>
  </si>
  <si>
    <t>수제재료명</t>
  </si>
  <si>
    <t>1배치 산출량</t>
  </si>
  <si>
    <t>구성재료명</t>
  </si>
  <si>
    <t>사용량</t>
  </si>
  <si>
    <t>📌 예시 가짜 숫자 — 실제 값으로 교체</t>
  </si>
  <si>
    <t>📌 예시</t>
  </si>
  <si>
    <t>❓원물 종류 확인</t>
  </si>
  <si>
    <t>PDF 확정: 흑임자20+생60 (1잔=1배치)</t>
  </si>
  <si>
    <t>❓1배치 추출량 + 사용 원두 g</t>
  </si>
  <si>
    <t>❓1배치=몇 개, 1봉당 원두 g. A/B/C 등급별 다른지</t>
  </si>
  <si>
    <t>❓1배치=몇 개</t>
  </si>
  <si>
    <t>❓1판 N조각</t>
  </si>
  <si>
    <t>❓1배치=N개</t>
  </si>
  <si>
    <t>메뉴명</t>
  </si>
  <si>
    <t>카테고리</t>
  </si>
  <si>
    <t>단위·비고</t>
  </si>
  <si>
    <t>도원결의 에이드</t>
  </si>
  <si>
    <t>ade</t>
  </si>
  <si>
    <t>레몬에이드</t>
  </si>
  <si>
    <t>자몽에이드</t>
  </si>
  <si>
    <t>패션후르츠 에이드</t>
  </si>
  <si>
    <t>딸기라떼</t>
  </si>
  <si>
    <t>beverage</t>
  </si>
  <si>
    <t>g / ICE 전용, 포장병</t>
  </si>
  <si>
    <t>아이스초코</t>
  </si>
  <si>
    <t>핫/아이스초코</t>
  </si>
  <si>
    <t>더치라떼(ICE)</t>
  </si>
  <si>
    <t>coffee</t>
  </si>
  <si>
    <t>더치커피(ICE)</t>
  </si>
  <si>
    <t>드립백 C</t>
  </si>
  <si>
    <t>개 / ❓</t>
  </si>
  <si>
    <t>리얼바닐라빈 라떼</t>
  </si>
  <si>
    <t>바닐라 슈페너</t>
  </si>
  <si>
    <t>아메리카노</t>
  </si>
  <si>
    <t>g / 2샷, HOT·ICE 통일</t>
  </si>
  <si>
    <t>에스프레소</t>
  </si>
  <si>
    <t>g / 2샷</t>
  </si>
  <si>
    <t>카페라떼</t>
  </si>
  <si>
    <t>g / HOT 스팀, ICE 차가운 동량</t>
  </si>
  <si>
    <t>카페모카</t>
  </si>
  <si>
    <t>구움과자세트</t>
  </si>
  <si>
    <t>dessert</t>
  </si>
  <si>
    <t>개 / ❓레몬마들렌 1~2</t>
  </si>
  <si>
    <t>레몬 마들렌</t>
  </si>
  <si>
    <t>개 / 데우기 10초</t>
  </si>
  <si>
    <t>말차 티라미수</t>
  </si>
  <si>
    <t>말차 티라미수(미니)</t>
  </si>
  <si>
    <t>미니 마들렌 박스</t>
  </si>
  <si>
    <t>개 / ❓박스 N개</t>
  </si>
  <si>
    <t>베이글샌드위치1종+아메리카노 세트</t>
  </si>
  <si>
    <t>개 / ❓잠봉뵈르 가정</t>
  </si>
  <si>
    <t>g / 아메리카노</t>
  </si>
  <si>
    <t>초코 쿠키 박스</t>
  </si>
  <si>
    <t>크로와상 붕어빵</t>
  </si>
  <si>
    <t>플레인 베이글(+크림치즈)</t>
  </si>
  <si>
    <t>개 / 데우기 20초</t>
  </si>
  <si>
    <t>플레인스콘</t>
  </si>
  <si>
    <t>호두파이</t>
  </si>
  <si>
    <t>더치커피 원액260ml</t>
  </si>
  <si>
    <t>dutch_coffee</t>
  </si>
  <si>
    <t>ml / 병 판매</t>
  </si>
  <si>
    <t>더치커피 원액450ml</t>
  </si>
  <si>
    <t>말차 딸기 크림(Only Ice)</t>
  </si>
  <si>
    <t>matcha</t>
  </si>
  <si>
    <t>말차 라떼</t>
  </si>
  <si>
    <t>g / ❓매장H 기준. 매장I 25g / 포장H 25g 처리</t>
  </si>
  <si>
    <t>g / 매장HOT 기준</t>
  </si>
  <si>
    <t>말차 크림</t>
  </si>
  <si>
    <t>순수 말차</t>
  </si>
  <si>
    <t>봄딸기주스</t>
  </si>
  <si>
    <t>season</t>
  </si>
  <si>
    <t>이벤트용 봄딸기주스</t>
  </si>
  <si>
    <t>g / ❓봄딸기와 동일?</t>
  </si>
  <si>
    <t>TWG  캐모마일티</t>
  </si>
  <si>
    <t>tea</t>
  </si>
  <si>
    <t>도원결의티</t>
  </si>
  <si>
    <t>레몬티</t>
  </si>
  <si>
    <t>g / 슬라이스 2~3</t>
  </si>
  <si>
    <t>펌프 / ❓Hot 1 vs Ice 2</t>
  </si>
  <si>
    <t>로얄 밀크티</t>
  </si>
  <si>
    <t>개 / 3분 우림</t>
  </si>
  <si>
    <t>펌프 / ❓ICE 미명시</t>
  </si>
  <si>
    <t>망고아이스티</t>
  </si>
  <si>
    <t>펌프 / ❓망고시럽 별도?</t>
  </si>
  <si>
    <t>복숭아아이스티</t>
  </si>
  <si>
    <t>아이스티</t>
  </si>
  <si>
    <t>애플시나몬티</t>
  </si>
  <si>
    <t>g / 슬라이스</t>
  </si>
  <si>
    <t>오미자티</t>
  </si>
  <si>
    <t>팔레데떼 프랑스티 블루오브런던</t>
  </si>
  <si>
    <t>TWG  레이디그레이티</t>
  </si>
  <si>
    <t>TWG  페퍼민트티</t>
  </si>
  <si>
    <t>교토 말차세트</t>
  </si>
  <si>
    <t>g / ❓말차+디저트?</t>
  </si>
  <si>
    <t>드립백 A</t>
  </si>
  <si>
    <t>개 / ❓등급별 원두 g 다른지 시트2 확인</t>
  </si>
  <si>
    <t>드립백 B</t>
  </si>
  <si>
    <t>개 / 매입 그대로</t>
  </si>
  <si>
    <t>리얼바닐라빈 밀크</t>
  </si>
  <si>
    <t>g / ❓HOT 250 vs ICE 270</t>
  </si>
  <si>
    <t>순수 말차세트</t>
  </si>
  <si>
    <t>g / ❓순수말차+디저트?</t>
  </si>
  <si>
    <t>아인슈페너</t>
  </si>
  <si>
    <t>자몽티</t>
  </si>
  <si>
    <t>잠봉뵈르&amp;고메버터베이글샌드위치</t>
  </si>
  <si>
    <t>잠봉뵈르&amp;루꼴라베이글샌드위치</t>
  </si>
  <si>
    <t>펌프 / 한바퀴</t>
  </si>
  <si>
    <t>g / ❓2겹</t>
  </si>
  <si>
    <t>카라멜마끼아또</t>
  </si>
  <si>
    <t>카푸치노</t>
  </si>
  <si>
    <t>g / HOT 전용</t>
  </si>
  <si>
    <t>패션후르츠티</t>
  </si>
  <si>
    <t>플레인베이글+아메리카노 세트</t>
  </si>
  <si>
    <t>핸드드립</t>
  </si>
  <si>
    <t>흑임자슈페너</t>
  </si>
  <si>
    <t>g / 1잔=1배치</t>
  </si>
  <si>
    <t>세트명</t>
  </si>
  <si>
    <t>온도</t>
  </si>
  <si>
    <t>커피 HOT 포장</t>
  </si>
  <si>
    <t>hot</t>
  </si>
  <si>
    <t>커피 ICE 포장</t>
  </si>
  <si>
    <t>ice</t>
  </si>
  <si>
    <t>말차 HOT 포장</t>
  </si>
  <si>
    <t>말차 ICE 포장</t>
  </si>
  <si>
    <t>티 HOT 포장</t>
  </si>
  <si>
    <t>티 ICE 포장</t>
  </si>
  <si>
    <t>에이드 ICE 포장</t>
  </si>
  <si>
    <t>음료 ICE 포장</t>
  </si>
  <si>
    <t>❓딸기라떼/바닐라빈밀크 기준</t>
  </si>
  <si>
    <t>드립커피 HOT 포장</t>
  </si>
  <si>
    <t>drip_coffee</t>
  </si>
  <si>
    <t>❓핸드드립 HOT 컵 종류</t>
  </si>
  <si>
    <t>드립커피 ICE 포장</t>
  </si>
  <si>
    <t>더치커피 ICE 포장</t>
  </si>
  <si>
    <t>❓더치커피(ICE) 컵 / 원액병은 별도</t>
  </si>
  <si>
    <t>시즌 포장</t>
  </si>
  <si>
    <t>❓봄딸기주스 컵</t>
  </si>
  <si>
    <t>디저트 포장</t>
  </si>
  <si>
    <t>❓봉투 종류</t>
  </si>
  <si>
    <t>g</t>
    <phoneticPr fontId="6" type="noConversion"/>
  </si>
  <si>
    <t>동물성생크림</t>
    <phoneticPr fontId="6" type="noConversion"/>
  </si>
  <si>
    <t>식물성생크림</t>
    <phoneticPr fontId="6" type="noConversion"/>
  </si>
  <si>
    <t>순수</t>
    <phoneticPr fontId="6" type="noConversion"/>
  </si>
  <si>
    <t>말차파우더</t>
    <phoneticPr fontId="6" type="noConversion"/>
  </si>
  <si>
    <t>개</t>
    <phoneticPr fontId="6" type="noConversion"/>
  </si>
  <si>
    <t>현금</t>
    <phoneticPr fontId="6" type="noConversion"/>
  </si>
  <si>
    <t>디카페인 원두</t>
    <phoneticPr fontId="6" type="noConversion"/>
  </si>
  <si>
    <t>더치커피 원두</t>
    <phoneticPr fontId="6" type="noConversion"/>
  </si>
  <si>
    <t xml:space="preserve">수제로 변경 (4/30 점장) — 시트2에 배합 입력 필요</t>
  </si>
  <si>
    <t xml:space="preserve">제조크림</t>
  </si>
  <si>
    <t xml:space="preserve">식물성480 + 동물성1500 + 설탕384 = 1배치 2364g (4/30 점장 정의)</t>
  </si>
  <si>
    <t xml:space="preserve">마들렌 부산물 — 옵션A: 원가0 처리 권장 (4/30 점장)</t>
  </si>
  <si>
    <t xml:space="preserve">설탕만 추가 비용 — 점장 추정값 입력 가능</t>
  </si>
  <si>
    <t xml:space="preserve">생크림 → 제조크림 변경 (4/30)</t>
  </si>
  <si>
    <t xml:space="preserve">수제 변경 (4/30 점장) — 어떤 재료로 만드는지 추가 질문 필요</t>
  </si>
  <si>
    <t xml:space="preserve">480g (4/30 점장 정의)</t>
  </si>
  <si>
    <t xml:space="preserve">500g × 3</t>
  </si>
  <si>
    <t xml:space="preserve">192g × 2</t>
  </si>
  <si>
    <t xml:space="preserve">g / 휘핑크림→제조크림 (4/30)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</si>
</sst>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맑은 고딕"/>
      <family val="2"/>
      <scheme val="minor"/>
    </font>
    <font>
      <b/>
      <sz val="15"/>
      <color rgb="FF1A5C3A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</fonts>
  <fills>
    <fill>
      <patternFill patternType="none"/>
    </fill>
    <fill>
      <patternFill patternType="gray125"/>
    </fill>
    <fill>
      <patternFill patternType="solid">
        <fgColor rgb="FFFCEAEA"/>
      </patternFill>
    </fill>
    <fill>
      <patternFill patternType="solid">
        <fgColor rgb="FF1A5C3A"/>
      </patternFill>
    </fill>
    <fill>
      <patternFill patternType="solid">
        <fgColor rgb="FFFFE066"/>
      </patternFill>
    </fill>
    <fill>
      <patternFill patternType="solid">
        <fgColor rgb="FFEFEFEF"/>
      </patternFill>
    </fill>
    <fill>
      <patternFill patternType="solid">
        <fgColor rgb="FFE8F1ED"/>
      </patternFill>
    </fill>
    <fill>
      <patternFill patternType="solid">
        <fgColor rgb="FFEBF4FF"/>
      </patternFill>
    </fill>
    <fill>
      <patternFill patternType="solid">
        <fgColor rgb="FFE8F1ED"/>
        <bgColor indexed="64"/>
      </patternFill>
    </fill>
  </fills>
  <borders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8F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topLeftCell="A67" workbookViewId="0"/>
  </sheetViews>
  <sheetFormatPr defaultRowHeight="17.399999999999999"/>
  <cols>
    <col min="1" max="1" width="105" customWidth="1"/>
  </cols>
  <sheetData>
    <row r="1" spans="1:1" ht="27.9" customHeight="1">
      <c r="A1" t="s" s="1">
        <v>0</v>
      </c>
    </row>
    <row r="2" spans="1:1">
      <c r="A2" s="2"/>
    </row>
    <row r="3" spans="1:1">
      <c r="A3" t="s" s="2">
        <v>1</v>
      </c>
    </row>
    <row r="4" spans="1:1">
      <c r="A4" t="s" s="2">
        <v>2</v>
      </c>
    </row>
    <row r="5" spans="1:1">
      <c r="A5" t="s" s="2">
        <v>1</v>
      </c>
    </row>
    <row r="6" spans="1:1">
      <c r="A6" s="2"/>
    </row>
    <row r="7" spans="1:1">
      <c r="A7" t="s" s="2">
        <v>3</v>
      </c>
    </row>
    <row r="8" spans="1:1">
      <c r="A8" t="s" s="2">
        <v>4</v>
      </c>
    </row>
    <row r="9" spans="1:1">
      <c r="A9" t="s" s="2">
        <v>5</v>
      </c>
    </row>
    <row r="10" spans="1:1">
      <c r="A10" t="s" s="2">
        <v>6</v>
      </c>
    </row>
    <row r="11" spans="1:1">
      <c r="A11" s="2"/>
    </row>
    <row r="12" spans="1:1">
      <c r="A12" t="s" s="2">
        <v>7</v>
      </c>
    </row>
    <row r="13" spans="1:1">
      <c r="A13" t="s" s="2">
        <v>8</v>
      </c>
    </row>
    <row r="14" spans="1:1">
      <c r="A14" t="s" s="2">
        <v>9</v>
      </c>
    </row>
    <row r="15" spans="1:1">
      <c r="A15" t="s" s="2">
        <v>10</v>
      </c>
    </row>
    <row r="16" spans="1:1">
      <c r="A16" s="2"/>
    </row>
    <row r="17" spans="1:1">
      <c r="A17" t="s" s="2">
        <v>11</v>
      </c>
    </row>
    <row r="18" spans="1:1">
      <c r="A18" t="s" s="2">
        <v>12</v>
      </c>
    </row>
    <row r="19" spans="1:1">
      <c r="A19" t="s" s="2">
        <v>13</v>
      </c>
    </row>
    <row r="20" spans="1:1">
      <c r="A20" t="s" s="2">
        <v>14</v>
      </c>
    </row>
    <row r="21" spans="1:1">
      <c r="A21" s="2"/>
    </row>
    <row r="22" spans="1:1">
      <c r="A22" t="s" s="2">
        <v>15</v>
      </c>
    </row>
    <row r="23" spans="1:1">
      <c r="A23" t="s" s="2">
        <v>16</v>
      </c>
    </row>
    <row r="24" spans="1:1">
      <c r="A24" t="s" s="2">
        <v>17</v>
      </c>
    </row>
    <row r="25" spans="1:1">
      <c r="A25" t="s" s="2">
        <v>18</v>
      </c>
    </row>
    <row r="26" spans="1:1">
      <c r="A26" s="2"/>
    </row>
    <row r="27" spans="1:1">
      <c r="A27" t="s" s="2">
        <v>19</v>
      </c>
    </row>
    <row r="28" spans="1:1">
      <c r="A28" t="s" s="2">
        <v>20</v>
      </c>
    </row>
    <row r="29" spans="1:1">
      <c r="A29" t="s" s="2">
        <v>21</v>
      </c>
    </row>
    <row r="30" spans="1:1">
      <c r="A30" s="2"/>
    </row>
    <row r="31" spans="1:1">
      <c r="A31" t="s" s="2">
        <v>1</v>
      </c>
    </row>
    <row r="32" spans="1:1">
      <c r="A32" t="s" s="2">
        <v>22</v>
      </c>
    </row>
    <row r="33" spans="1:1">
      <c r="A33" t="s" s="2">
        <v>1</v>
      </c>
    </row>
    <row r="34" spans="1:1">
      <c r="A34" t="s" s="2">
        <v>23</v>
      </c>
    </row>
    <row r="35" spans="1:1">
      <c r="A35" t="s" s="2">
        <v>24</v>
      </c>
    </row>
    <row r="36" spans="1:1">
      <c r="A36" t="s" s="2">
        <v>25</v>
      </c>
    </row>
    <row r="37" spans="1:1">
      <c r="A37" t="s" s="2">
        <v>26</v>
      </c>
    </row>
    <row r="38" spans="1:1">
      <c r="A38" t="s" s="2">
        <v>27</v>
      </c>
    </row>
    <row r="39" spans="1:1">
      <c r="A39" t="s" s="2">
        <v>28</v>
      </c>
    </row>
    <row r="40" spans="1:1">
      <c r="A40" s="2"/>
    </row>
    <row r="41" spans="1:1">
      <c r="A41" t="s" s="2">
        <v>1</v>
      </c>
    </row>
    <row r="42" spans="1:1">
      <c r="A42" t="s" s="2">
        <v>29</v>
      </c>
    </row>
    <row r="43" spans="1:1">
      <c r="A43" t="s" s="2">
        <v>1</v>
      </c>
    </row>
    <row r="44" spans="1:1">
      <c r="A44" t="s" s="2">
        <v>30</v>
      </c>
    </row>
    <row r="45" spans="1:1">
      <c r="A45" t="s" s="2">
        <v>31</v>
      </c>
    </row>
    <row r="46" spans="1:1">
      <c r="A46" t="s" s="2">
        <v>32</v>
      </c>
    </row>
    <row r="47" spans="1:1">
      <c r="A47" t="s" s="2">
        <v>33</v>
      </c>
    </row>
    <row r="48" spans="1:1">
      <c r="A48" s="2"/>
    </row>
    <row r="49" spans="1:1">
      <c r="A49" t="s" s="2">
        <v>34</v>
      </c>
    </row>
    <row r="50" spans="1:1">
      <c r="A50" t="s" s="2">
        <v>35</v>
      </c>
    </row>
    <row r="51" spans="1:1">
      <c r="A51" t="s" s="2">
        <v>36</v>
      </c>
    </row>
    <row r="52" spans="1:1">
      <c r="A52" s="2"/>
    </row>
    <row r="53" spans="1:1">
      <c r="A53" t="s" s="2">
        <v>1</v>
      </c>
    </row>
    <row r="54" spans="1:1">
      <c r="A54" t="s" s="2">
        <v>37</v>
      </c>
    </row>
    <row r="55" spans="1:1">
      <c r="A55" t="s" s="2">
        <v>1</v>
      </c>
    </row>
    <row r="56" spans="1:1">
      <c r="A56" t="s" s="2">
        <v>38</v>
      </c>
    </row>
    <row r="57" spans="1:1">
      <c r="A57" t="s" s="2">
        <v>39</v>
      </c>
    </row>
    <row r="58" spans="1:1">
      <c r="A58" t="s" s="2">
        <v>40</v>
      </c>
    </row>
    <row r="59" spans="1:1">
      <c r="A59" s="2"/>
    </row>
    <row r="60" spans="1:1">
      <c r="A60" t="s" s="2">
        <v>41</v>
      </c>
    </row>
    <row r="61" spans="1:1">
      <c r="A61" t="s" s="2">
        <v>42</v>
      </c>
    </row>
    <row r="62" spans="1:1">
      <c r="A62" t="s" s="2">
        <v>43</v>
      </c>
    </row>
    <row r="63" spans="1:1">
      <c r="A63" t="s" s="2">
        <v>44</v>
      </c>
    </row>
    <row r="64" spans="1:1">
      <c r="A64" s="2"/>
    </row>
    <row r="65" spans="1:1">
      <c r="A65" t="s" s="2">
        <v>45</v>
      </c>
    </row>
    <row r="66" spans="1:1">
      <c r="A66" t="s" s="2">
        <v>46</v>
      </c>
    </row>
    <row r="67" spans="1:1">
      <c r="A67" t="s" s="2">
        <v>47</v>
      </c>
    </row>
    <row r="68" spans="1:1">
      <c r="A68" s="2"/>
    </row>
    <row r="69" spans="1:1">
      <c r="A69" t="s" s="2">
        <v>48</v>
      </c>
    </row>
    <row r="70" spans="1:1">
      <c r="A70" t="s" s="2">
        <v>49</v>
      </c>
    </row>
    <row r="71" spans="1:1">
      <c r="A71" t="s" s="2">
        <v>50</v>
      </c>
    </row>
    <row r="72" spans="1:1">
      <c r="A72" s="2"/>
    </row>
    <row r="73" spans="1:1">
      <c r="A73" t="s" s="2">
        <v>1</v>
      </c>
    </row>
    <row r="74" spans="1:1">
      <c r="A74" t="s" s="2">
        <v>51</v>
      </c>
    </row>
    <row r="75" spans="1:1">
      <c r="A75" t="s" s="2">
        <v>1</v>
      </c>
    </row>
    <row r="76" spans="1:1">
      <c r="A76" t="s" s="2">
        <v>52</v>
      </c>
    </row>
    <row r="77" spans="1:1">
      <c r="A77" t="s" s="2">
        <v>53</v>
      </c>
    </row>
    <row r="78" spans="1:1">
      <c r="A78" t="s" s="2">
        <v>54</v>
      </c>
    </row>
    <row r="79" spans="1:1">
      <c r="A79" t="s" s="2">
        <v>55</v>
      </c>
    </row>
    <row r="80" spans="1:1">
      <c r="A80" t="s" s="2">
        <v>56</v>
      </c>
    </row>
    <row r="81" spans="1:1">
      <c r="A81" s="2"/>
    </row>
    <row r="82" spans="1:1">
      <c r="A82" t="s" s="2">
        <v>57</v>
      </c>
    </row>
    <row r="83" spans="1:1">
      <c r="A83" t="s" s="2">
        <v>58</v>
      </c>
    </row>
    <row r="84" spans="1:1">
      <c r="A84" t="s" s="2">
        <v>59</v>
      </c>
    </row>
    <row r="85" spans="1:1">
      <c r="A85" s="2"/>
    </row>
    <row r="86" spans="1:1">
      <c r="A86" t="s" s="2">
        <v>60</v>
      </c>
    </row>
    <row r="87" spans="1:1">
      <c r="A87" t="s" s="2">
        <v>61</v>
      </c>
    </row>
    <row r="88" spans="1:1">
      <c r="A88" t="s" s="2">
        <v>62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tabSelected="1" zoomScaleNormal="100" workbookViewId="0">
      <pane ySplit="1" topLeftCell="A2" activePane="bottomLeft" state="frozen"/>
      <selection pane="bottomLeft" activeCell="H2" sqref="H2:H7"/>
    </sheetView>
  </sheetViews>
  <sheetFormatPr defaultRowHeight="17.399999999999999"/>
  <cols>
    <col min="1" max="1" width="44" customWidth="1"/>
    <col min="2" max="2" width="12" customWidth="1"/>
    <col min="3" max="3" width="8" customWidth="1"/>
    <col min="4" max="4" width="12" customWidth="1"/>
    <col min="5" max="5" width="14" customWidth="1"/>
    <col min="6" max="6" width="11" customWidth="1"/>
    <col min="7" max="7" width="15" customWidth="1"/>
    <col min="8" max="8" width="30" customWidth="1"/>
    <col min="9" max="9" width="14" customWidth="1"/>
    <col min="10" max="10" width="50" customWidth="1"/>
  </cols>
  <sheetData>
    <row r="1" spans="1:10">
      <c r="A1" t="s" s="3">
        <v>63</v>
      </c>
      <c r="B1" t="s" s="3">
        <v>64</v>
      </c>
      <c r="C1" t="s" s="3">
        <v>65</v>
      </c>
      <c r="D1" t="s" s="3">
        <v>66</v>
      </c>
      <c r="E1" t="s" s="3">
        <v>67</v>
      </c>
      <c r="F1" t="s" s="3">
        <v>68</v>
      </c>
      <c r="G1" t="s" s="3">
        <v>69</v>
      </c>
      <c r="H1" t="s" s="3">
        <v>70</v>
      </c>
      <c r="I1" t="s" s="3">
        <v>71</v>
      </c>
      <c r="J1" t="s" s="3">
        <v>72</v>
      </c>
    </row>
    <row r="2" spans="1:10">
      <c r="A2" t="s" s="4">
        <v>73</v>
      </c>
      <c r="B2" t="s" s="5">
        <v>341</v>
      </c>
      <c r="C2" t="s" s="5">
        <v>75</v>
      </c>
      <c r="D2" t="s" s="5">
        <v>347</v>
      </c>
      <c r="E2" s="13">
        <v>1000</v>
      </c>
      <c r="F2" s="6">
        <v>10</v>
      </c>
      <c r="G2" s="6">
        <v>350000</v>
      </c>
      <c r="H2" s="5">
        <f t="shared" ref="H2:H35" si="0">IFERROR(G2/(E2*F2),"")</f>
      </c>
      <c r="I2" t="s" s="5">
        <v>78</v>
      </c>
      <c r="J2" t="s" s="5">
        <v>79</v>
      </c>
    </row>
    <row r="3" spans="1:10">
      <c r="A3" t="s" s="14">
        <v>348</v>
      </c>
      <c r="B3" t="s" s="5">
        <v>341</v>
      </c>
      <c r="C3" t="s" s="5">
        <v>75</v>
      </c>
      <c r="D3" t="s" s="5">
        <v>347</v>
      </c>
      <c r="E3" s="6">
        <v>1000</v>
      </c>
      <c r="F3" s="6">
        <v>1</v>
      </c>
      <c r="G3" s="6">
        <v>40000</v>
      </c>
      <c r="H3" s="5">
        <f t="shared" si="0"/>
      </c>
      <c r="I3" s="5"/>
      <c r="J3" s="8"/>
    </row>
    <row r="4" spans="1:10">
      <c r="A4" t="s" s="14">
        <v>80</v>
      </c>
      <c r="B4" t="s" s="5">
        <v>341</v>
      </c>
      <c r="C4" t="s" s="5">
        <v>75</v>
      </c>
      <c r="D4" t="s" s="5">
        <v>347</v>
      </c>
      <c r="E4" s="6">
        <v>500</v>
      </c>
      <c r="F4" s="6">
        <v>3</v>
      </c>
      <c r="G4" s="6">
        <v>60000</v>
      </c>
      <c r="H4" s="5">
        <f t="shared" si="0"/>
      </c>
      <c r="I4" t="s" s="5">
        <v>78</v>
      </c>
      <c r="J4" t="s" s="8">
        <v>82</v>
      </c>
    </row>
    <row r="5" spans="1:10">
      <c r="A5" t="s" s="14">
        <v>349</v>
      </c>
      <c r="B5" t="s" s="5">
        <v>341</v>
      </c>
      <c r="C5" t="s" s="5">
        <v>75</v>
      </c>
      <c r="D5" t="s" s="5">
        <v>347</v>
      </c>
      <c r="E5" s="6">
        <v>500</v>
      </c>
      <c r="F5" s="6">
        <v>3</v>
      </c>
      <c r="G5" s="6">
        <v>60000</v>
      </c>
      <c r="H5" s="5">
        <f t="shared" si="0"/>
      </c>
      <c r="I5" s="5"/>
      <c r="J5" s="8"/>
    </row>
    <row r="6" spans="1:10">
      <c r="A6" t="s" s="4">
        <v>83</v>
      </c>
      <c r="B6" t="s" s="5">
        <v>341</v>
      </c>
      <c r="C6" t="s" s="5">
        <v>75</v>
      </c>
      <c r="D6" t="s" s="5">
        <v>347</v>
      </c>
      <c r="E6" s="6">
        <v>900</v>
      </c>
      <c r="F6" s="6">
        <v>16</v>
      </c>
      <c r="G6" s="6">
        <v>43200</v>
      </c>
      <c r="H6" s="5">
        <f t="shared" si="0"/>
      </c>
      <c r="I6" t="s" s="5">
        <v>78</v>
      </c>
      <c r="J6" t="s" s="5">
        <v>84</v>
      </c>
    </row>
    <row r="7" spans="1:10">
      <c r="A7" t="s" s="7">
        <v>85</v>
      </c>
      <c r="B7" t="s" s="5">
        <v>86</v>
      </c>
      <c r="C7" t="s" s="5">
        <v>171</v>
      </c>
      <c r="D7" t="s" s="5">
        <v>172</v>
      </c>
      <c r="E7" t="s" s="6">
        <v>172</v>
      </c>
      <c r="F7" t="s" s="6">
        <v>172</v>
      </c>
      <c r="G7" t="s" s="6">
        <v>172</v>
      </c>
      <c r="H7" t="s" s="5">
        <v>173</v>
      </c>
      <c r="I7" t="s" s="5">
        <v>78</v>
      </c>
      <c r="J7" t="s" s="5">
        <v>350</v>
      </c>
    </row>
    <row r="8" spans="1:10">
      <c r="A8" t="s" s="7">
        <v>88</v>
      </c>
      <c r="B8" t="s" s="5">
        <v>341</v>
      </c>
      <c r="C8" t="s" s="5">
        <v>75</v>
      </c>
      <c r="D8" t="s" s="5">
        <v>81</v>
      </c>
      <c r="E8" s="6">
        <v>2000</v>
      </c>
      <c r="F8" s="6">
        <v>2</v>
      </c>
      <c r="G8" s="6">
        <v>30380</v>
      </c>
      <c r="H8" s="5">
        <f t="shared" si="0"/>
      </c>
      <c r="I8" t="s" s="5">
        <v>78</v>
      </c>
      <c r="J8" s="5"/>
    </row>
    <row r="9" spans="1:10">
      <c r="A9" t="s" s="7">
        <v>89</v>
      </c>
      <c r="B9" t="s" s="5">
        <v>341</v>
      </c>
      <c r="C9" t="s" s="5">
        <v>75</v>
      </c>
      <c r="D9" t="s" s="5">
        <v>81</v>
      </c>
      <c r="E9" s="6">
        <v>2600</v>
      </c>
      <c r="F9" s="6">
        <v>1</v>
      </c>
      <c r="G9" s="6">
        <v>24840</v>
      </c>
      <c r="H9" s="5">
        <f t="shared" si="0"/>
      </c>
      <c r="I9" t="s" s="5">
        <v>78</v>
      </c>
      <c r="J9" t="s" s="5">
        <v>91</v>
      </c>
    </row>
    <row r="10" spans="1:10">
      <c r="A10" t="s" s="7">
        <v>92</v>
      </c>
      <c r="B10" t="s" s="5">
        <v>341</v>
      </c>
      <c r="C10" t="s" s="5">
        <v>75</v>
      </c>
      <c r="D10" t="s" s="5">
        <v>81</v>
      </c>
      <c r="E10" s="6">
        <v>180</v>
      </c>
      <c r="F10" s="6">
        <v>2</v>
      </c>
      <c r="G10" s="6">
        <v>14900</v>
      </c>
      <c r="H10" s="5">
        <f t="shared" si="0"/>
      </c>
      <c r="I10" t="s" s="5">
        <v>78</v>
      </c>
      <c r="J10" t="s" s="5">
        <v>93</v>
      </c>
    </row>
    <row r="11" spans="1:10">
      <c r="A11" t="s" s="7">
        <v>94</v>
      </c>
      <c r="B11" t="s" s="5">
        <v>341</v>
      </c>
      <c r="C11" t="s" s="5">
        <v>75</v>
      </c>
      <c r="D11" t="s" s="5">
        <v>81</v>
      </c>
      <c r="E11" s="6">
        <v>1000</v>
      </c>
      <c r="F11" s="6">
        <v>1</v>
      </c>
      <c r="G11" s="6">
        <v>45600</v>
      </c>
      <c r="H11" s="5">
        <f t="shared" si="0"/>
      </c>
      <c r="I11" t="s" s="5">
        <v>78</v>
      </c>
      <c r="J11" t="s" s="5">
        <v>93</v>
      </c>
    </row>
    <row r="12" spans="1:10">
      <c r="A12" t="s" s="7">
        <v>95</v>
      </c>
      <c r="B12" t="s" s="5">
        <v>341</v>
      </c>
      <c r="C12" t="s" s="5">
        <v>75</v>
      </c>
      <c r="D12" t="s" s="5">
        <v>81</v>
      </c>
      <c r="E12" s="6">
        <v>2000</v>
      </c>
      <c r="F12" s="6">
        <v>2</v>
      </c>
      <c r="G12" s="6">
        <v>30380</v>
      </c>
      <c r="H12" s="5">
        <f t="shared" si="0"/>
      </c>
      <c r="I12" t="s" s="5">
        <v>78</v>
      </c>
      <c r="J12" t="s" s="5">
        <v>93</v>
      </c>
    </row>
    <row r="13" spans="1:10">
      <c r="A13" t="s" s="7">
        <v>97</v>
      </c>
      <c r="B13" t="s" s="5">
        <v>341</v>
      </c>
      <c r="C13" t="s" s="5">
        <v>75</v>
      </c>
      <c r="D13" t="s" s="5">
        <v>81</v>
      </c>
      <c r="E13" s="6">
        <v>800</v>
      </c>
      <c r="F13" s="6">
        <v>2</v>
      </c>
      <c r="G13" s="6">
        <v>32800</v>
      </c>
      <c r="H13" s="5">
        <f t="shared" si="0"/>
      </c>
      <c r="I13" t="s" s="5">
        <v>78</v>
      </c>
      <c r="J13" s="5"/>
    </row>
    <row r="14" spans="1:10">
      <c r="A14" t="s" s="14">
        <v>342</v>
      </c>
      <c r="B14" t="s" s="5">
        <v>341</v>
      </c>
      <c r="C14" t="s" s="5">
        <v>75</v>
      </c>
      <c r="D14" t="s" s="5">
        <v>347</v>
      </c>
      <c r="E14" s="6">
        <v>500</v>
      </c>
      <c r="F14" s="6">
        <v>1</v>
      </c>
      <c r="G14" s="6">
        <v>5500</v>
      </c>
      <c r="H14" s="5">
        <f t="shared" ref="H14" si="1">IFERROR(G14/(E14*F14),"")</f>
      </c>
      <c r="I14" t="s" s="5">
        <v>78</v>
      </c>
      <c r="J14" s="5"/>
    </row>
    <row r="15" spans="1:10">
      <c r="A15" t="s" s="14">
        <v>343</v>
      </c>
      <c r="B15" t="s" s="5">
        <v>341</v>
      </c>
      <c r="C15" t="s" s="5">
        <v>75</v>
      </c>
      <c r="D15" t="s" s="5">
        <v>347</v>
      </c>
      <c r="E15" s="6">
        <v>1030</v>
      </c>
      <c r="F15" s="6">
        <v>4</v>
      </c>
      <c r="G15" s="6">
        <v>19000</v>
      </c>
      <c r="H15" s="5">
        <f t="shared" si="0"/>
      </c>
      <c r="I15" t="s" s="5">
        <v>78</v>
      </c>
      <c r="J15" s="5"/>
    </row>
    <row r="16" spans="1:10">
      <c r="A16" t="s" s="4">
        <v>345</v>
      </c>
      <c r="B16" t="s" s="5">
        <v>341</v>
      </c>
      <c r="C16" t="s" s="5">
        <v>75</v>
      </c>
      <c r="D16" t="s" s="5">
        <v>347</v>
      </c>
      <c r="E16" s="6">
        <v>500</v>
      </c>
      <c r="F16" s="6">
        <v>10</v>
      </c>
      <c r="G16" s="6">
        <v>300000</v>
      </c>
      <c r="H16" s="5">
        <f t="shared" si="0"/>
      </c>
      <c r="I16" t="s" s="5">
        <v>78</v>
      </c>
      <c r="J16" s="5"/>
    </row>
    <row r="17" spans="1:10">
      <c r="A17" t="s" s="7">
        <v>344</v>
      </c>
      <c r="B17" t="s" s="5">
        <v>341</v>
      </c>
      <c r="C17" t="s" s="5">
        <v>75</v>
      </c>
      <c r="D17" t="s" s="5">
        <v>81</v>
      </c>
      <c r="E17" s="6">
        <v>1000</v>
      </c>
      <c r="F17" s="6">
        <v>1</v>
      </c>
      <c r="G17" s="6">
        <v>200000</v>
      </c>
      <c r="H17" s="5">
        <f t="shared" si="0"/>
      </c>
      <c r="I17" t="s" s="5">
        <v>78</v>
      </c>
      <c r="J17" t="s" s="8">
        <v>101</v>
      </c>
    </row>
    <row r="18" spans="1:10">
      <c r="A18" t="s" s="7">
        <v>102</v>
      </c>
      <c r="B18" t="s" s="5">
        <v>341</v>
      </c>
      <c r="C18" t="s" s="5">
        <v>75</v>
      </c>
      <c r="D18" t="s" s="5">
        <v>81</v>
      </c>
      <c r="E18" s="6">
        <v>1000</v>
      </c>
      <c r="F18" s="6">
        <v>2</v>
      </c>
      <c r="G18" s="6">
        <v>33440</v>
      </c>
      <c r="H18" s="5">
        <f t="shared" si="0"/>
      </c>
      <c r="I18" t="s" s="5">
        <v>78</v>
      </c>
      <c r="J18" s="5"/>
    </row>
    <row r="19" spans="1:10">
      <c r="A19" t="s" s="7">
        <v>103</v>
      </c>
      <c r="B19" t="s" s="5">
        <v>341</v>
      </c>
      <c r="C19" t="s" s="5">
        <v>75</v>
      </c>
      <c r="D19" t="s" s="5">
        <v>81</v>
      </c>
      <c r="E19" s="6">
        <v>1000</v>
      </c>
      <c r="F19" s="6">
        <v>2</v>
      </c>
      <c r="G19" s="6">
        <v>37000</v>
      </c>
      <c r="H19" s="5">
        <f t="shared" si="0"/>
      </c>
      <c r="I19" t="s" s="5">
        <v>78</v>
      </c>
      <c r="J19" s="5"/>
    </row>
    <row r="20" spans="1:10">
      <c r="A20" t="s" s="7">
        <v>104</v>
      </c>
      <c r="B20" t="s" s="5">
        <v>341</v>
      </c>
      <c r="C20" t="s" s="5">
        <v>75</v>
      </c>
      <c r="D20" t="s" s="5">
        <v>81</v>
      </c>
      <c r="E20" s="6">
        <v>1500</v>
      </c>
      <c r="F20" s="6">
        <v>6</v>
      </c>
      <c r="G20" s="6">
        <v>22860</v>
      </c>
      <c r="H20" s="5">
        <f t="shared" si="0"/>
      </c>
      <c r="I20" t="s" s="5">
        <v>78</v>
      </c>
      <c r="J20" s="5"/>
    </row>
    <row r="21" spans="1:10">
      <c r="A21" t="s" s="7">
        <v>105</v>
      </c>
      <c r="B21" t="s" s="5">
        <v>341</v>
      </c>
      <c r="C21" t="s" s="5">
        <v>75</v>
      </c>
      <c r="D21" t="s" s="5">
        <v>81</v>
      </c>
      <c r="E21" s="6">
        <v>1000</v>
      </c>
      <c r="F21" s="6">
        <v>2</v>
      </c>
      <c r="G21" s="6">
        <v>34020</v>
      </c>
      <c r="H21" s="5">
        <f t="shared" si="0"/>
      </c>
      <c r="I21" t="s" s="5">
        <v>78</v>
      </c>
      <c r="J21" s="5"/>
    </row>
    <row r="22" spans="1:10">
      <c r="A22" t="s" s="7">
        <v>106</v>
      </c>
      <c r="B22" t="s" s="5">
        <v>346</v>
      </c>
      <c r="C22" t="s" s="5">
        <v>75</v>
      </c>
      <c r="D22" t="s" s="5">
        <v>81</v>
      </c>
      <c r="E22" s="6">
        <v>25</v>
      </c>
      <c r="F22" s="6">
        <v>2</v>
      </c>
      <c r="G22" s="6">
        <v>16180</v>
      </c>
      <c r="H22" s="5">
        <f t="shared" si="0"/>
      </c>
      <c r="I22" t="s" s="5">
        <v>78</v>
      </c>
      <c r="J22" t="s" s="5">
        <v>108</v>
      </c>
    </row>
    <row r="23" spans="1:10">
      <c r="A23" t="s" s="7">
        <v>109</v>
      </c>
      <c r="B23" t="s" s="5">
        <v>346</v>
      </c>
      <c r="C23" t="s" s="5">
        <v>75</v>
      </c>
      <c r="D23" t="s" s="5">
        <v>81</v>
      </c>
      <c r="E23" s="6">
        <v>25</v>
      </c>
      <c r="F23" s="6">
        <v>2</v>
      </c>
      <c r="G23" s="6">
        <v>15550</v>
      </c>
      <c r="H23" s="5">
        <f t="shared" si="0"/>
      </c>
      <c r="I23" t="s" s="5">
        <v>78</v>
      </c>
      <c r="J23" s="5"/>
    </row>
    <row r="24" spans="1:10">
      <c r="A24" t="s" s="7">
        <v>110</v>
      </c>
      <c r="B24" t="s" s="5">
        <v>346</v>
      </c>
      <c r="C24" t="s" s="5">
        <v>75</v>
      </c>
      <c r="D24" t="s" s="5">
        <v>81</v>
      </c>
      <c r="E24" s="6">
        <v>25</v>
      </c>
      <c r="F24" s="6">
        <v>1</v>
      </c>
      <c r="G24" s="6">
        <v>8010</v>
      </c>
      <c r="H24" s="5">
        <f t="shared" si="0"/>
      </c>
      <c r="I24" t="s" s="5">
        <v>78</v>
      </c>
      <c r="J24" s="5"/>
    </row>
    <row r="25" spans="1:10">
      <c r="A25" t="s" s="7">
        <v>111</v>
      </c>
      <c r="B25" t="s" s="5">
        <v>346</v>
      </c>
      <c r="C25" t="s" s="5">
        <v>75</v>
      </c>
      <c r="D25" t="s" s="5">
        <v>81</v>
      </c>
      <c r="E25" s="6">
        <v>20</v>
      </c>
      <c r="F25" s="6">
        <v>1</v>
      </c>
      <c r="G25" s="6">
        <v>24000</v>
      </c>
      <c r="H25" s="5">
        <f t="shared" si="0"/>
      </c>
      <c r="I25" t="s" s="5">
        <v>78</v>
      </c>
      <c r="J25" t="s" s="5">
        <v>112</v>
      </c>
    </row>
    <row r="26" spans="1:10">
      <c r="A26" t="s" s="7">
        <v>113</v>
      </c>
      <c r="B26" t="s" s="5">
        <v>346</v>
      </c>
      <c r="C26" t="s" s="5">
        <v>75</v>
      </c>
      <c r="D26" t="s" s="5">
        <v>81</v>
      </c>
      <c r="E26" s="6">
        <v>100</v>
      </c>
      <c r="F26" s="6">
        <v>1</v>
      </c>
      <c r="G26" s="6">
        <v>17000</v>
      </c>
      <c r="H26" s="5">
        <f t="shared" si="0"/>
      </c>
      <c r="I26" t="s" s="5">
        <v>78</v>
      </c>
      <c r="J26" s="5"/>
    </row>
    <row r="27" spans="1:10">
      <c r="A27" t="s" s="7">
        <v>114</v>
      </c>
      <c r="B27" t="s" s="5">
        <v>346</v>
      </c>
      <c r="C27" t="s" s="5">
        <v>75</v>
      </c>
      <c r="D27" t="s" s="5">
        <v>81</v>
      </c>
      <c r="E27" s="6">
        <v>120</v>
      </c>
      <c r="F27" s="6">
        <v>1</v>
      </c>
      <c r="G27" s="6">
        <v>38960</v>
      </c>
      <c r="H27" s="5">
        <f t="shared" si="0"/>
      </c>
      <c r="I27" t="s" s="5">
        <v>78</v>
      </c>
      <c r="J27" s="5"/>
    </row>
    <row r="28" spans="1:10">
      <c r="A28" t="s" s="7">
        <v>116</v>
      </c>
      <c r="B28" t="s" s="5">
        <v>341</v>
      </c>
      <c r="C28" t="s" s="5">
        <v>75</v>
      </c>
      <c r="D28" t="s" s="5">
        <v>81</v>
      </c>
      <c r="E28" t="s" s="6">
        <v>77</v>
      </c>
      <c r="F28" t="s" s="6">
        <v>77</v>
      </c>
      <c r="G28" t="s" s="6">
        <v>77</v>
      </c>
      <c r="H28" s="5">
        <f t="shared" si="0"/>
      </c>
      <c r="I28" t="s" s="5">
        <v>78</v>
      </c>
      <c r="J28" t="s" s="8">
        <v>117</v>
      </c>
    </row>
    <row r="29" spans="1:10">
      <c r="A29" t="s" s="7">
        <v>118</v>
      </c>
      <c r="B29" t="s" s="5">
        <v>341</v>
      </c>
      <c r="C29" t="s" s="5">
        <v>75</v>
      </c>
      <c r="D29" t="s" s="5">
        <v>81</v>
      </c>
      <c r="E29" s="6">
        <v>3000</v>
      </c>
      <c r="F29" s="6">
        <v>1</v>
      </c>
      <c r="G29" s="6">
        <v>13980</v>
      </c>
      <c r="H29" s="5">
        <f t="shared" si="0"/>
      </c>
      <c r="I29" t="s" s="5">
        <v>78</v>
      </c>
      <c r="J29" s="5"/>
    </row>
    <row r="30" spans="1:10">
      <c r="A30" t="s" s="7">
        <v>119</v>
      </c>
      <c r="B30" t="s" s="5">
        <v>341</v>
      </c>
      <c r="C30" t="s" s="5">
        <v>75</v>
      </c>
      <c r="D30" t="s" s="5">
        <v>81</v>
      </c>
      <c r="E30" s="6">
        <v>3000</v>
      </c>
      <c r="F30" s="6">
        <v>1</v>
      </c>
      <c r="G30" s="6">
        <v>16980</v>
      </c>
      <c r="H30" s="5">
        <f t="shared" si="0"/>
      </c>
      <c r="I30" t="s" s="5">
        <v>78</v>
      </c>
      <c r="J30" t="s" s="5">
        <v>120</v>
      </c>
    </row>
    <row r="31" spans="1:10">
      <c r="A31" t="s" s="7">
        <v>121</v>
      </c>
      <c r="B31" t="s" s="5">
        <v>341</v>
      </c>
      <c r="C31" t="s" s="5">
        <v>75</v>
      </c>
      <c r="D31" t="s" s="5">
        <v>81</v>
      </c>
      <c r="E31" t="s" s="6">
        <v>77</v>
      </c>
      <c r="F31" t="s" s="6">
        <v>77</v>
      </c>
      <c r="G31" t="s" s="6">
        <v>77</v>
      </c>
      <c r="H31" s="5">
        <f t="shared" si="0"/>
      </c>
      <c r="I31" t="s" s="5">
        <v>78</v>
      </c>
      <c r="J31" t="s" s="5">
        <v>122</v>
      </c>
    </row>
    <row r="32" spans="1:10">
      <c r="A32" t="s" s="7">
        <v>123</v>
      </c>
      <c r="B32" t="s" s="5">
        <v>341</v>
      </c>
      <c r="C32" t="s" s="5">
        <v>75</v>
      </c>
      <c r="D32" t="s" s="5">
        <v>81</v>
      </c>
      <c r="E32" t="s" s="6">
        <v>77</v>
      </c>
      <c r="F32" t="s" s="6">
        <v>77</v>
      </c>
      <c r="G32" t="s" s="6">
        <v>77</v>
      </c>
      <c r="H32" s="5">
        <f t="shared" si="0"/>
      </c>
      <c r="I32" t="s" s="5">
        <v>78</v>
      </c>
      <c r="J32" t="s" s="8">
        <v>124</v>
      </c>
    </row>
    <row r="33" spans="1:10">
      <c r="A33" t="s" s="7">
        <v>125</v>
      </c>
      <c r="B33" t="s" s="5">
        <v>341</v>
      </c>
      <c r="C33" t="s" s="5">
        <v>75</v>
      </c>
      <c r="D33" t="s" s="5">
        <v>81</v>
      </c>
      <c r="E33" s="6">
        <v>1000</v>
      </c>
      <c r="F33" s="6">
        <v>9</v>
      </c>
      <c r="G33" s="6">
        <v>66910</v>
      </c>
      <c r="H33" s="5">
        <f t="shared" si="0"/>
      </c>
      <c r="I33" t="s" s="5">
        <v>78</v>
      </c>
      <c r="J33" s="5"/>
    </row>
    <row r="34" spans="1:10">
      <c r="A34" t="s" s="7">
        <v>126</v>
      </c>
      <c r="B34" t="s" s="5">
        <v>341</v>
      </c>
      <c r="C34" t="s" s="5">
        <v>75</v>
      </c>
      <c r="D34" t="s" s="5">
        <v>81</v>
      </c>
      <c r="E34" s="6">
        <v>500</v>
      </c>
      <c r="F34" s="6">
        <v>4</v>
      </c>
      <c r="G34" s="6">
        <v>14560</v>
      </c>
      <c r="H34" s="5">
        <f t="shared" si="0"/>
      </c>
      <c r="I34" t="s" s="5">
        <v>78</v>
      </c>
      <c r="J34" t="s" s="5">
        <v>127</v>
      </c>
    </row>
    <row r="35" spans="1:10">
      <c r="A35" t="s" s="7">
        <v>128</v>
      </c>
      <c r="B35" t="s" s="5">
        <v>341</v>
      </c>
      <c r="C35" t="s" s="5">
        <v>75</v>
      </c>
      <c r="D35" t="s" s="5">
        <v>81</v>
      </c>
      <c r="E35" s="6">
        <v>1500</v>
      </c>
      <c r="F35" s="6">
        <v>2</v>
      </c>
      <c r="G35" s="6">
        <v>41000</v>
      </c>
      <c r="H35" s="5">
        <f t="shared" si="0"/>
      </c>
      <c r="I35" t="s" s="5">
        <v>78</v>
      </c>
      <c r="J35" t="s" s="5">
        <v>129</v>
      </c>
    </row>
    <row r="36" spans="1:10">
      <c r="A36" t="s" s="7">
        <v>130</v>
      </c>
      <c r="B36" t="s" s="5">
        <v>341</v>
      </c>
      <c r="C36" t="s" s="5">
        <v>75</v>
      </c>
      <c r="D36" t="s" s="5">
        <v>81</v>
      </c>
      <c r="E36" t="s" s="6">
        <v>77</v>
      </c>
      <c r="F36" t="s" s="6">
        <v>77</v>
      </c>
      <c r="G36" t="s" s="6">
        <v>77</v>
      </c>
      <c r="H36" s="5">
        <f t="shared" ref="H36:H64" si="2">IFERROR(G36/(E36*F36),"")</f>
      </c>
      <c r="I36" t="s" s="5">
        <v>78</v>
      </c>
      <c r="J36" t="s" s="5">
        <v>131</v>
      </c>
    </row>
    <row r="37" spans="1:10">
      <c r="A37" t="s" s="4">
        <v>132</v>
      </c>
      <c r="B37" t="s" s="5">
        <v>341</v>
      </c>
      <c r="C37" t="s" s="5">
        <v>75</v>
      </c>
      <c r="D37" t="s" s="5">
        <v>347</v>
      </c>
      <c r="E37" s="6">
        <v>3600</v>
      </c>
      <c r="F37" s="6">
        <v>1</v>
      </c>
      <c r="G37" s="6">
        <v>150300</v>
      </c>
      <c r="H37" s="5">
        <f t="shared" si="2"/>
      </c>
      <c r="I37" t="s" s="5">
        <v>78</v>
      </c>
      <c r="J37" s="5"/>
    </row>
    <row r="38" spans="1:10">
      <c r="A38" t="s" s="7">
        <v>133</v>
      </c>
      <c r="B38" t="s" s="5">
        <v>134</v>
      </c>
      <c r="C38" t="s" s="5">
        <v>75</v>
      </c>
      <c r="D38" t="s" s="5">
        <v>81</v>
      </c>
      <c r="E38" t="s" s="6">
        <v>77</v>
      </c>
      <c r="F38" t="s" s="6">
        <v>77</v>
      </c>
      <c r="G38" t="s" s="6">
        <v>77</v>
      </c>
      <c r="H38" s="5">
        <f t="shared" si="2"/>
      </c>
      <c r="I38" t="s" s="5">
        <v>78</v>
      </c>
      <c r="J38" t="s" s="5">
        <v>135</v>
      </c>
    </row>
    <row r="39" spans="1:10">
      <c r="A39" t="s" s="7">
        <v>136</v>
      </c>
      <c r="B39" t="s" s="5">
        <v>341</v>
      </c>
      <c r="C39" t="s" s="5">
        <v>75</v>
      </c>
      <c r="D39" t="s" s="5">
        <v>81</v>
      </c>
      <c r="E39" s="6">
        <v>540</v>
      </c>
      <c r="F39" s="6">
        <v>3</v>
      </c>
      <c r="G39" s="6">
        <v>16040</v>
      </c>
      <c r="H39" s="5">
        <f t="shared" si="2"/>
      </c>
      <c r="I39" t="s" s="5">
        <v>78</v>
      </c>
      <c r="J39" s="5"/>
    </row>
    <row r="40" spans="1:10">
      <c r="A40" t="s" s="7">
        <v>137</v>
      </c>
      <c r="B40" t="s" s="5">
        <v>341</v>
      </c>
      <c r="C40" t="s" s="5">
        <v>75</v>
      </c>
      <c r="D40" t="s" s="5">
        <v>81</v>
      </c>
      <c r="E40" s="6">
        <v>1000</v>
      </c>
      <c r="F40" s="6">
        <v>2</v>
      </c>
      <c r="G40" s="6">
        <v>21900</v>
      </c>
      <c r="H40" s="5">
        <f t="shared" si="2"/>
      </c>
      <c r="I40" t="s" s="5">
        <v>78</v>
      </c>
      <c r="J40" t="s" s="5">
        <v>138</v>
      </c>
    </row>
    <row r="41" spans="1:10">
      <c r="A41" t="s" s="7">
        <v>139</v>
      </c>
      <c r="B41" t="s" s="5">
        <v>341</v>
      </c>
      <c r="C41" t="s" s="5">
        <v>75</v>
      </c>
      <c r="D41" t="s" s="5">
        <v>81</v>
      </c>
      <c r="E41" s="6">
        <v>280</v>
      </c>
      <c r="F41" s="6">
        <v>6</v>
      </c>
      <c r="G41" s="6">
        <v>32200</v>
      </c>
      <c r="H41" s="5">
        <f t="shared" si="2"/>
      </c>
      <c r="I41" t="s" s="5">
        <v>78</v>
      </c>
      <c r="J41" s="5"/>
    </row>
    <row r="42" spans="1:10">
      <c r="A42" t="s" s="7">
        <v>140</v>
      </c>
      <c r="B42" t="s" s="5">
        <v>341</v>
      </c>
      <c r="C42" t="s" s="5">
        <v>75</v>
      </c>
      <c r="D42" t="s" s="5">
        <v>81</v>
      </c>
      <c r="E42" s="6">
        <v>500</v>
      </c>
      <c r="F42" s="6">
        <v>1</v>
      </c>
      <c r="G42" s="6">
        <v>6490</v>
      </c>
      <c r="H42" s="5">
        <f t="shared" si="2"/>
      </c>
      <c r="I42" t="s" s="5">
        <v>78</v>
      </c>
      <c r="J42" s="5"/>
    </row>
    <row r="43" spans="1:10">
      <c r="A43" t="s" s="7">
        <v>141</v>
      </c>
      <c r="B43" t="s" s="5">
        <v>341</v>
      </c>
      <c r="C43" t="s" s="5">
        <v>75</v>
      </c>
      <c r="D43" t="s" s="5">
        <v>81</v>
      </c>
      <c r="E43" s="6">
        <v>100</v>
      </c>
      <c r="F43" s="6">
        <v>3</v>
      </c>
      <c r="G43" s="6">
        <v>8040</v>
      </c>
      <c r="H43" s="5">
        <f t="shared" si="2"/>
      </c>
      <c r="I43" t="s" s="5">
        <v>78</v>
      </c>
      <c r="J43" s="5"/>
    </row>
    <row r="44" spans="1:10">
      <c r="A44" t="s" s="7">
        <v>142</v>
      </c>
      <c r="B44" t="s" s="5">
        <v>341</v>
      </c>
      <c r="C44" t="s" s="5">
        <v>75</v>
      </c>
      <c r="D44" t="s" s="5">
        <v>81</v>
      </c>
      <c r="E44" t="s" s="6">
        <v>77</v>
      </c>
      <c r="F44" t="s" s="6">
        <v>77</v>
      </c>
      <c r="G44" t="s" s="6">
        <v>77</v>
      </c>
      <c r="H44" s="5">
        <f t="shared" si="2"/>
      </c>
      <c r="I44" t="s" s="5">
        <v>78</v>
      </c>
      <c r="J44" t="s" s="5">
        <v>143</v>
      </c>
    </row>
    <row r="45" spans="1:10">
      <c r="A45" t="s" s="7">
        <v>144</v>
      </c>
      <c r="B45" t="s" s="5">
        <v>341</v>
      </c>
      <c r="C45" t="s" s="5">
        <v>75</v>
      </c>
      <c r="D45" t="s" s="5">
        <v>81</v>
      </c>
      <c r="E45" s="6">
        <v>500</v>
      </c>
      <c r="F45" s="6">
        <v>4</v>
      </c>
      <c r="G45" s="6">
        <v>39750</v>
      </c>
      <c r="H45" s="5">
        <f t="shared" si="2"/>
      </c>
      <c r="I45" t="s" s="5">
        <v>78</v>
      </c>
      <c r="J45" s="5"/>
    </row>
    <row r="46" spans="1:10">
      <c r="A46" t="s" s="7">
        <v>145</v>
      </c>
      <c r="B46" t="s" s="5">
        <v>341</v>
      </c>
      <c r="C46" t="s" s="5">
        <v>75</v>
      </c>
      <c r="D46" t="s" s="5">
        <v>81</v>
      </c>
      <c r="E46" t="s" s="6">
        <v>77</v>
      </c>
      <c r="F46" t="s" s="6">
        <v>77</v>
      </c>
      <c r="G46" t="s" s="6">
        <v>77</v>
      </c>
      <c r="H46" s="5">
        <f t="shared" si="2"/>
      </c>
      <c r="I46" t="s" s="5">
        <v>78</v>
      </c>
      <c r="J46" s="5"/>
    </row>
    <row r="47" spans="1:10">
      <c r="A47" t="s" s="7">
        <v>146</v>
      </c>
      <c r="B47" t="s" s="5">
        <v>346</v>
      </c>
      <c r="C47" t="s" s="5">
        <v>75</v>
      </c>
      <c r="D47" t="s" s="5">
        <v>81</v>
      </c>
      <c r="E47" t="s" s="6">
        <v>77</v>
      </c>
      <c r="F47" t="s" s="6">
        <v>77</v>
      </c>
      <c r="G47" t="s" s="6">
        <v>77</v>
      </c>
      <c r="H47" s="5">
        <f t="shared" si="2"/>
      </c>
      <c r="I47" t="s" s="5">
        <v>78</v>
      </c>
      <c r="J47" s="5"/>
    </row>
    <row r="48" spans="1:10">
      <c r="A48" t="s" s="7">
        <v>147</v>
      </c>
      <c r="B48" t="s" s="5">
        <v>341</v>
      </c>
      <c r="C48" t="s" s="5">
        <v>75</v>
      </c>
      <c r="D48" t="s" s="5">
        <v>81</v>
      </c>
      <c r="E48" s="6">
        <v>1000</v>
      </c>
      <c r="F48" s="6">
        <v>5</v>
      </c>
      <c r="G48" s="6">
        <v>82500</v>
      </c>
      <c r="H48" s="5">
        <f t="shared" si="2"/>
      </c>
      <c r="I48" t="s" s="5">
        <v>78</v>
      </c>
      <c r="J48" s="5"/>
    </row>
    <row r="49" spans="1:10">
      <c r="A49" t="s" s="7">
        <v>148</v>
      </c>
      <c r="B49" t="s" s="5">
        <v>341</v>
      </c>
      <c r="C49" t="s" s="5">
        <v>75</v>
      </c>
      <c r="D49" t="s" s="5">
        <v>81</v>
      </c>
      <c r="E49" s="6">
        <v>2250</v>
      </c>
      <c r="F49" s="6">
        <v>2</v>
      </c>
      <c r="G49" s="6">
        <v>30800</v>
      </c>
      <c r="H49" s="5">
        <f t="shared" si="2"/>
      </c>
      <c r="I49" t="s" s="5">
        <v>78</v>
      </c>
      <c r="J49" t="s" s="5">
        <v>149</v>
      </c>
    </row>
    <row r="50" spans="1:10">
      <c r="A50" t="s" s="7">
        <v>150</v>
      </c>
      <c r="B50" t="s" s="5">
        <v>341</v>
      </c>
      <c r="C50" t="s" s="5">
        <v>75</v>
      </c>
      <c r="D50" t="s" s="5">
        <v>81</v>
      </c>
      <c r="E50" s="6">
        <v>5000</v>
      </c>
      <c r="F50" s="6">
        <v>1</v>
      </c>
      <c r="G50" s="6">
        <v>22730</v>
      </c>
      <c r="H50" s="5">
        <f t="shared" si="2"/>
      </c>
      <c r="I50" t="s" s="5">
        <v>78</v>
      </c>
      <c r="J50" t="s" s="8">
        <v>151</v>
      </c>
    </row>
    <row r="51" spans="1:10">
      <c r="A51" t="s" s="7">
        <v>152</v>
      </c>
      <c r="B51" t="s" s="5">
        <v>341</v>
      </c>
      <c r="C51" t="s" s="5">
        <v>75</v>
      </c>
      <c r="D51" t="s" s="5">
        <v>81</v>
      </c>
      <c r="E51" t="s" s="6">
        <v>77</v>
      </c>
      <c r="F51" t="s" s="6">
        <v>77</v>
      </c>
      <c r="G51" t="s" s="6">
        <v>77</v>
      </c>
      <c r="H51" s="5">
        <f t="shared" si="2"/>
      </c>
      <c r="I51" t="s" s="5">
        <v>78</v>
      </c>
      <c r="J51" t="s" s="8">
        <v>153</v>
      </c>
    </row>
    <row r="52" spans="1:10">
      <c r="A52" t="s" s="7">
        <v>154</v>
      </c>
      <c r="B52" t="s" s="5">
        <v>346</v>
      </c>
      <c r="C52" t="s" s="5">
        <v>75</v>
      </c>
      <c r="D52" t="s" s="5">
        <v>81</v>
      </c>
      <c r="E52" s="6">
        <v>24</v>
      </c>
      <c r="F52" s="6">
        <v>1</v>
      </c>
      <c r="G52" s="6">
        <v>35900</v>
      </c>
      <c r="H52" s="5">
        <f t="shared" si="2"/>
      </c>
      <c r="I52" t="s" s="5">
        <v>78</v>
      </c>
      <c r="J52" t="s" s="5">
        <v>155</v>
      </c>
    </row>
    <row r="53" spans="1:10">
      <c r="A53" t="s" s="7">
        <v>156</v>
      </c>
      <c r="B53" t="s" s="5">
        <v>346</v>
      </c>
      <c r="C53" t="s" s="5">
        <v>75</v>
      </c>
      <c r="D53" t="s" s="5">
        <v>81</v>
      </c>
      <c r="E53" s="6">
        <v>24</v>
      </c>
      <c r="F53" s="6">
        <v>1</v>
      </c>
      <c r="G53" s="6">
        <v>35870</v>
      </c>
      <c r="H53" s="5">
        <f t="shared" si="2"/>
      </c>
      <c r="I53" t="s" s="5">
        <v>78</v>
      </c>
      <c r="J53" s="5"/>
    </row>
    <row r="54" spans="1:10">
      <c r="A54" t="s" s="7">
        <v>157</v>
      </c>
      <c r="B54" t="s" s="5">
        <v>346</v>
      </c>
      <c r="C54" t="s" s="5">
        <v>75</v>
      </c>
      <c r="D54" t="s" s="5">
        <v>81</v>
      </c>
      <c r="E54" s="6">
        <v>24</v>
      </c>
      <c r="F54" s="6">
        <v>1</v>
      </c>
      <c r="G54" s="6">
        <v>36190</v>
      </c>
      <c r="H54" s="5">
        <f t="shared" si="2"/>
      </c>
      <c r="I54" t="s" s="5">
        <v>78</v>
      </c>
      <c r="J54" s="5"/>
    </row>
    <row r="55" spans="1:10">
      <c r="A55" t="s" s="7">
        <v>158</v>
      </c>
      <c r="B55" t="s" s="5">
        <v>346</v>
      </c>
      <c r="C55" t="s" s="5">
        <v>75</v>
      </c>
      <c r="D55" t="s" s="5">
        <v>81</v>
      </c>
      <c r="E55" s="6">
        <v>1000</v>
      </c>
      <c r="F55" s="6">
        <v>1</v>
      </c>
      <c r="G55" s="6">
        <v>49500</v>
      </c>
      <c r="H55" s="5">
        <f t="shared" si="2"/>
      </c>
      <c r="I55" t="s" s="5">
        <v>78</v>
      </c>
      <c r="J55" s="5"/>
    </row>
    <row r="56" spans="1:10">
      <c r="A56" t="s" s="7">
        <v>159</v>
      </c>
      <c r="B56" t="s" s="5">
        <v>346</v>
      </c>
      <c r="C56" t="s" s="5">
        <v>75</v>
      </c>
      <c r="D56" t="s" s="5">
        <v>81</v>
      </c>
      <c r="E56" s="6">
        <v>1000</v>
      </c>
      <c r="F56" s="6">
        <v>1</v>
      </c>
      <c r="G56" s="6">
        <v>45890</v>
      </c>
      <c r="H56" s="5">
        <f t="shared" si="2"/>
      </c>
      <c r="I56" t="s" s="5">
        <v>78</v>
      </c>
      <c r="J56" s="5"/>
    </row>
    <row r="57" spans="1:10">
      <c r="A57" t="s" s="7">
        <v>160</v>
      </c>
      <c r="B57" t="s" s="5">
        <v>346</v>
      </c>
      <c r="C57" t="s" s="5">
        <v>75</v>
      </c>
      <c r="D57" t="s" s="5">
        <v>81</v>
      </c>
      <c r="E57" s="6">
        <v>1000</v>
      </c>
      <c r="F57" s="6">
        <v>1</v>
      </c>
      <c r="G57" s="6">
        <v>32500</v>
      </c>
      <c r="H57" s="5">
        <f t="shared" si="2"/>
      </c>
      <c r="I57" t="s" s="5">
        <v>78</v>
      </c>
      <c r="J57" s="5"/>
    </row>
    <row r="58" spans="1:10">
      <c r="A58" t="s" s="7">
        <v>161</v>
      </c>
      <c r="B58" t="s" s="5">
        <v>346</v>
      </c>
      <c r="C58" t="s" s="5">
        <v>75</v>
      </c>
      <c r="D58" t="s" s="5">
        <v>81</v>
      </c>
      <c r="E58" s="6">
        <v>1000</v>
      </c>
      <c r="F58" s="6">
        <v>1</v>
      </c>
      <c r="G58" s="6">
        <v>52500</v>
      </c>
      <c r="H58" s="5">
        <f t="shared" si="2"/>
      </c>
      <c r="I58" t="s" s="5">
        <v>78</v>
      </c>
      <c r="J58" s="5"/>
    </row>
    <row r="59" spans="1:10">
      <c r="A59" t="s" s="7">
        <v>162</v>
      </c>
      <c r="B59" t="s" s="5">
        <v>346</v>
      </c>
      <c r="C59" t="s" s="5">
        <v>75</v>
      </c>
      <c r="D59" t="s" s="5">
        <v>81</v>
      </c>
      <c r="E59" t="s" s="6">
        <v>77</v>
      </c>
      <c r="F59" t="s" s="6">
        <v>77</v>
      </c>
      <c r="G59" t="s" s="6">
        <v>77</v>
      </c>
      <c r="H59" s="5">
        <f t="shared" si="2"/>
      </c>
      <c r="I59" t="s" s="5">
        <v>78</v>
      </c>
      <c r="J59" s="5"/>
    </row>
    <row r="60" spans="1:10">
      <c r="A60" t="s" s="7">
        <v>163</v>
      </c>
      <c r="B60" t="s" s="5">
        <v>346</v>
      </c>
      <c r="C60" t="s" s="5">
        <v>75</v>
      </c>
      <c r="D60" t="s" s="5">
        <v>81</v>
      </c>
      <c r="E60" t="s" s="6">
        <v>77</v>
      </c>
      <c r="F60" t="s" s="6">
        <v>77</v>
      </c>
      <c r="G60" t="s" s="6">
        <v>77</v>
      </c>
      <c r="H60" s="5">
        <f t="shared" si="2"/>
      </c>
      <c r="I60" t="s" s="5">
        <v>78</v>
      </c>
      <c r="J60" s="5"/>
    </row>
    <row r="61" spans="1:10">
      <c r="A61" t="s" s="7">
        <v>164</v>
      </c>
      <c r="B61" t="s" s="5">
        <v>346</v>
      </c>
      <c r="C61" t="s" s="5">
        <v>75</v>
      </c>
      <c r="D61" t="s" s="5">
        <v>81</v>
      </c>
      <c r="E61" s="6">
        <v>500</v>
      </c>
      <c r="F61" s="6">
        <v>2</v>
      </c>
      <c r="G61" s="6">
        <v>89100</v>
      </c>
      <c r="H61" s="5">
        <f t="shared" si="2"/>
      </c>
      <c r="I61" t="s" s="5">
        <v>78</v>
      </c>
      <c r="J61" s="5"/>
    </row>
    <row r="62" spans="1:10">
      <c r="A62" t="s" s="7">
        <v>165</v>
      </c>
      <c r="B62" t="s" s="5">
        <v>346</v>
      </c>
      <c r="C62" t="s" s="5">
        <v>75</v>
      </c>
      <c r="D62" t="s" s="5">
        <v>81</v>
      </c>
      <c r="E62" s="6">
        <v>240</v>
      </c>
      <c r="F62" s="6">
        <v>1</v>
      </c>
      <c r="G62" s="6">
        <v>129400</v>
      </c>
      <c r="H62" s="5">
        <f t="shared" si="2"/>
      </c>
      <c r="I62" t="s" s="5">
        <v>78</v>
      </c>
      <c r="J62" t="s" s="5">
        <v>166</v>
      </c>
    </row>
    <row r="63" spans="1:10">
      <c r="A63" t="s" s="7">
        <v>167</v>
      </c>
      <c r="B63" t="s" s="5">
        <v>346</v>
      </c>
      <c r="C63" t="s" s="5">
        <v>75</v>
      </c>
      <c r="D63" t="s" s="5">
        <v>81</v>
      </c>
      <c r="E63" s="6">
        <v>100</v>
      </c>
      <c r="F63" s="6">
        <v>1</v>
      </c>
      <c r="G63" s="6">
        <v>7000</v>
      </c>
      <c r="H63" s="5">
        <f t="shared" si="2"/>
      </c>
      <c r="I63" t="s" s="5">
        <v>78</v>
      </c>
      <c r="J63" t="s" s="5">
        <v>168</v>
      </c>
    </row>
    <row r="64" spans="1:10">
      <c r="A64" t="s" s="7">
        <v>169</v>
      </c>
      <c r="B64" t="s" s="5">
        <v>346</v>
      </c>
      <c r="C64" t="s" s="5">
        <v>75</v>
      </c>
      <c r="D64" t="s" s="5">
        <v>81</v>
      </c>
      <c r="E64" t="s" s="6">
        <v>77</v>
      </c>
      <c r="F64" t="s" s="6">
        <v>77</v>
      </c>
      <c r="G64" t="s" s="6">
        <v>77</v>
      </c>
      <c r="H64" s="5">
        <f t="shared" si="2"/>
      </c>
      <c r="I64" t="s" s="5">
        <v>78</v>
      </c>
      <c r="J64" s="5"/>
    </row>
    <row r="65" spans="1:10">
      <c r="A65" t="s" s="7">
        <v>170</v>
      </c>
      <c r="B65" t="s" s="5">
        <v>341</v>
      </c>
      <c r="C65" t="s" s="5">
        <v>171</v>
      </c>
      <c r="D65" t="s" s="5">
        <v>172</v>
      </c>
      <c r="E65" t="s" s="5">
        <v>172</v>
      </c>
      <c r="F65" t="s" s="5">
        <v>172</v>
      </c>
      <c r="G65" t="s" s="5">
        <v>172</v>
      </c>
      <c r="H65" t="s" s="5">
        <v>173</v>
      </c>
      <c r="I65" s="5"/>
      <c r="J65" t="s" s="5">
        <v>174</v>
      </c>
    </row>
    <row r="66" spans="1:10">
      <c r="A66" t="s" s="7">
        <v>175</v>
      </c>
      <c r="B66" t="s" s="5">
        <v>341</v>
      </c>
      <c r="C66" t="s" s="5">
        <v>171</v>
      </c>
      <c r="D66" t="s" s="5">
        <v>172</v>
      </c>
      <c r="E66" t="s" s="5">
        <v>172</v>
      </c>
      <c r="F66" t="s" s="5">
        <v>172</v>
      </c>
      <c r="G66" t="s" s="5">
        <v>172</v>
      </c>
      <c r="H66" t="s" s="5">
        <v>173</v>
      </c>
      <c r="I66" s="5"/>
      <c r="J66" t="s" s="5">
        <v>176</v>
      </c>
    </row>
    <row r="67" spans="1:10">
      <c r="A67" t="s" s="7">
        <v>177</v>
      </c>
      <c r="B67" t="s" s="5">
        <v>341</v>
      </c>
      <c r="C67" t="s" s="5">
        <v>171</v>
      </c>
      <c r="D67" t="s" s="5">
        <v>172</v>
      </c>
      <c r="E67" t="s" s="5">
        <v>172</v>
      </c>
      <c r="F67" t="s" s="5">
        <v>172</v>
      </c>
      <c r="G67" t="s" s="5">
        <v>172</v>
      </c>
      <c r="H67" t="s" s="5">
        <v>173</v>
      </c>
      <c r="I67" s="5"/>
      <c r="J67" t="s" s="5">
        <v>176</v>
      </c>
    </row>
    <row r="68" spans="1:10">
      <c r="A68" t="s" s="7">
        <v>178</v>
      </c>
      <c r="B68" t="s" s="5">
        <v>341</v>
      </c>
      <c r="C68" t="s" s="5">
        <v>171</v>
      </c>
      <c r="D68" t="s" s="5">
        <v>172</v>
      </c>
      <c r="E68" t="s" s="5">
        <v>172</v>
      </c>
      <c r="F68" t="s" s="5">
        <v>172</v>
      </c>
      <c r="G68" t="s" s="5">
        <v>172</v>
      </c>
      <c r="H68" t="s" s="5">
        <v>173</v>
      </c>
      <c r="I68" s="5"/>
      <c r="J68" t="s" s="5">
        <v>176</v>
      </c>
    </row>
    <row r="69" spans="1:10">
      <c r="A69" t="s" s="7">
        <v>179</v>
      </c>
      <c r="B69" t="s" s="5">
        <v>341</v>
      </c>
      <c r="C69" t="s" s="5">
        <v>171</v>
      </c>
      <c r="D69" t="s" s="5">
        <v>172</v>
      </c>
      <c r="E69" t="s" s="5">
        <v>172</v>
      </c>
      <c r="F69" t="s" s="5">
        <v>172</v>
      </c>
      <c r="G69" t="s" s="5">
        <v>172</v>
      </c>
      <c r="H69" t="s" s="5">
        <v>173</v>
      </c>
      <c r="I69" s="5"/>
      <c r="J69" t="s" s="8">
        <v>180</v>
      </c>
    </row>
    <row r="70" spans="1:10">
      <c r="A70" t="s" s="7">
        <v>181</v>
      </c>
      <c r="B70" t="s" s="5">
        <v>341</v>
      </c>
      <c r="C70" t="s" s="5">
        <v>171</v>
      </c>
      <c r="D70" t="s" s="5">
        <v>172</v>
      </c>
      <c r="E70" t="s" s="5">
        <v>172</v>
      </c>
      <c r="F70" t="s" s="5">
        <v>172</v>
      </c>
      <c r="G70" t="s" s="5">
        <v>172</v>
      </c>
      <c r="H70" t="s" s="5">
        <v>173</v>
      </c>
      <c r="I70" s="5"/>
      <c r="J70" t="s" s="5">
        <v>176</v>
      </c>
    </row>
    <row r="71" spans="1:10">
      <c r="A71" t="s" s="7">
        <v>182</v>
      </c>
      <c r="B71" t="s" s="5">
        <v>341</v>
      </c>
      <c r="C71" t="s" s="5">
        <v>171</v>
      </c>
      <c r="D71" t="s" s="5">
        <v>172</v>
      </c>
      <c r="E71" t="s" s="5">
        <v>172</v>
      </c>
      <c r="F71" t="s" s="5">
        <v>172</v>
      </c>
      <c r="G71" t="s" s="5">
        <v>172</v>
      </c>
      <c r="H71" t="s" s="5">
        <v>173</v>
      </c>
      <c r="I71" s="5"/>
      <c r="J71" t="s" s="5">
        <v>183</v>
      </c>
    </row>
    <row r="72" spans="1:10">
      <c r="A72" t="s" s="7">
        <v>184</v>
      </c>
      <c r="B72" t="s" s="5">
        <v>341</v>
      </c>
      <c r="C72" t="s" s="5">
        <v>171</v>
      </c>
      <c r="D72" t="s" s="5">
        <v>172</v>
      </c>
      <c r="E72" t="s" s="5">
        <v>172</v>
      </c>
      <c r="F72" t="s" s="5">
        <v>172</v>
      </c>
      <c r="G72" t="s" s="5">
        <v>172</v>
      </c>
      <c r="H72" t="s" s="5">
        <v>173</v>
      </c>
      <c r="I72" s="5"/>
      <c r="J72" t="s" s="5">
        <v>185</v>
      </c>
    </row>
    <row r="73" spans="1:10">
      <c r="A73" t="s" s="7">
        <v>186</v>
      </c>
      <c r="B73" t="s" s="5">
        <v>341</v>
      </c>
      <c r="C73" t="s" s="5">
        <v>171</v>
      </c>
      <c r="D73" t="s" s="5">
        <v>172</v>
      </c>
      <c r="E73" t="s" s="5">
        <v>172</v>
      </c>
      <c r="F73" t="s" s="5">
        <v>172</v>
      </c>
      <c r="G73" t="s" s="5">
        <v>172</v>
      </c>
      <c r="H73" t="s" s="5">
        <v>173</v>
      </c>
      <c r="I73" s="5"/>
      <c r="J73" t="s" s="5">
        <v>187</v>
      </c>
    </row>
    <row r="74" spans="1:10">
      <c r="A74" t="s" s="7">
        <v>188</v>
      </c>
      <c r="B74" t="s" s="5">
        <v>341</v>
      </c>
      <c r="C74" t="s" s="5">
        <v>171</v>
      </c>
      <c r="D74" t="s" s="5">
        <v>172</v>
      </c>
      <c r="E74" t="s" s="5">
        <v>172</v>
      </c>
      <c r="F74" t="s" s="5">
        <v>172</v>
      </c>
      <c r="G74" t="s" s="5">
        <v>172</v>
      </c>
      <c r="H74" t="s" s="5">
        <v>173</v>
      </c>
      <c r="I74" s="5"/>
      <c r="J74" t="s" s="5">
        <v>176</v>
      </c>
    </row>
    <row r="75" spans="1:10">
      <c r="A75" t="s" s="7">
        <v>189</v>
      </c>
      <c r="B75" t="s" s="5">
        <v>115</v>
      </c>
      <c r="C75" t="s" s="5">
        <v>171</v>
      </c>
      <c r="D75" t="s" s="5">
        <v>172</v>
      </c>
      <c r="E75" t="s" s="5">
        <v>172</v>
      </c>
      <c r="F75" t="s" s="5">
        <v>172</v>
      </c>
      <c r="G75" t="s" s="5">
        <v>172</v>
      </c>
      <c r="H75" t="s" s="5">
        <v>173</v>
      </c>
      <c r="I75" s="5"/>
      <c r="J75" t="s" s="5">
        <v>190</v>
      </c>
    </row>
    <row r="76" spans="1:10">
      <c r="A76" t="s" s="7">
        <v>191</v>
      </c>
      <c r="B76" t="s" s="5">
        <v>346</v>
      </c>
      <c r="C76" t="s" s="5">
        <v>171</v>
      </c>
      <c r="D76" t="s" s="5">
        <v>172</v>
      </c>
      <c r="E76" t="s" s="5">
        <v>172</v>
      </c>
      <c r="F76" t="s" s="5">
        <v>172</v>
      </c>
      <c r="G76" t="s" s="5">
        <v>172</v>
      </c>
      <c r="H76" t="s" s="5">
        <v>173</v>
      </c>
      <c r="I76" s="5"/>
      <c r="J76" t="s" s="5">
        <v>192</v>
      </c>
    </row>
    <row r="77" spans="1:10">
      <c r="A77" t="s" s="7">
        <v>193</v>
      </c>
      <c r="B77" t="s" s="5">
        <v>346</v>
      </c>
      <c r="C77" t="s" s="5">
        <v>171</v>
      </c>
      <c r="D77" t="s" s="5">
        <v>172</v>
      </c>
      <c r="E77" t="s" s="5">
        <v>172</v>
      </c>
      <c r="F77" t="s" s="5">
        <v>172</v>
      </c>
      <c r="G77" t="s" s="5">
        <v>172</v>
      </c>
      <c r="H77" t="s" s="5">
        <v>173</v>
      </c>
      <c r="I77" s="5"/>
      <c r="J77" t="s" s="5">
        <v>194</v>
      </c>
    </row>
    <row r="78" spans="1:10">
      <c r="A78" t="s" s="7">
        <v>195</v>
      </c>
      <c r="B78" t="s" s="5">
        <v>134</v>
      </c>
      <c r="C78" t="s" s="5">
        <v>171</v>
      </c>
      <c r="D78" t="s" s="5">
        <v>172</v>
      </c>
      <c r="E78" t="s" s="5">
        <v>172</v>
      </c>
      <c r="F78" t="s" s="5">
        <v>172</v>
      </c>
      <c r="G78" t="s" s="5">
        <v>172</v>
      </c>
      <c r="H78" t="s" s="5">
        <v>173</v>
      </c>
      <c r="I78" s="5"/>
      <c r="J78" t="s" s="5">
        <v>196</v>
      </c>
    </row>
    <row r="79" spans="1:10">
      <c r="A79" t="s" s="7">
        <v>197</v>
      </c>
      <c r="B79" t="s" s="5">
        <v>346</v>
      </c>
      <c r="C79" t="s" s="5">
        <v>171</v>
      </c>
      <c r="D79" t="s" s="5">
        <v>172</v>
      </c>
      <c r="E79" t="s" s="5">
        <v>172</v>
      </c>
      <c r="F79" t="s" s="5">
        <v>172</v>
      </c>
      <c r="G79" t="s" s="5">
        <v>172</v>
      </c>
      <c r="H79" t="s" s="5">
        <v>173</v>
      </c>
      <c r="I79" s="5"/>
      <c r="J79" t="s" s="5">
        <v>176</v>
      </c>
    </row>
    <row r="80" spans="1:10">
      <c r="A80" t="s" s="7">
        <v>198</v>
      </c>
      <c r="B80" t="s" s="5">
        <v>346</v>
      </c>
      <c r="C80" t="s" s="5">
        <v>171</v>
      </c>
      <c r="D80" t="s" s="5">
        <v>172</v>
      </c>
      <c r="E80" t="s" s="5">
        <v>172</v>
      </c>
      <c r="F80" t="s" s="5">
        <v>172</v>
      </c>
      <c r="G80" t="s" s="5">
        <v>172</v>
      </c>
      <c r="H80" t="s" s="5">
        <v>173</v>
      </c>
      <c r="I80" s="5"/>
      <c r="J80" t="s" s="5">
        <v>176</v>
      </c>
    </row>
    <row r="81" spans="1:10">
      <c r="A81" t="s" s="7">
        <v>199</v>
      </c>
      <c r="B81" t="s" s="5">
        <v>346</v>
      </c>
      <c r="C81" t="s" s="5">
        <v>171</v>
      </c>
      <c r="D81" t="s" s="5">
        <v>172</v>
      </c>
      <c r="E81" t="s" s="5">
        <v>172</v>
      </c>
      <c r="F81" t="s" s="5">
        <v>172</v>
      </c>
      <c r="G81" t="s" s="5">
        <v>172</v>
      </c>
      <c r="H81" t="s" s="5">
        <v>173</v>
      </c>
      <c r="I81" s="5"/>
      <c r="J81" t="s" s="5">
        <v>176</v>
      </c>
    </row>
    <row r="82" spans="1:10">
      <c r="A82" t="s" s="7">
        <v>200</v>
      </c>
      <c r="B82" t="s" s="5">
        <v>346</v>
      </c>
      <c r="C82" t="s" s="5">
        <v>171</v>
      </c>
      <c r="D82" t="s" s="5">
        <v>172</v>
      </c>
      <c r="E82" t="s" s="5">
        <v>172</v>
      </c>
      <c r="F82" t="s" s="5">
        <v>172</v>
      </c>
      <c r="G82" t="s" s="5">
        <v>172</v>
      </c>
      <c r="H82" t="s" s="5">
        <v>173</v>
      </c>
      <c r="I82" s="5"/>
      <c r="J82" t="s" s="5">
        <v>176</v>
      </c>
    </row>
    <row r="83" spans="1:10">
      <c r="A83" t="s" s="9">
        <v>201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0">
      <c r="A84" t="s" s="9">
        <v>351</v>
      </c>
      <c r="B84" t="s" s="10">
        <v>341</v>
      </c>
      <c r="C84" t="s" s="10">
        <v>171</v>
      </c>
      <c r="D84" t="s" s="10">
        <v>172</v>
      </c>
      <c r="E84" t="s" s="10">
        <v>172</v>
      </c>
      <c r="F84" t="s" s="10">
        <v>172</v>
      </c>
      <c r="G84" t="s" s="10">
        <v>172</v>
      </c>
      <c r="H84" t="s" s="10">
        <v>173</v>
      </c>
      <c r="I84" s="10"/>
      <c r="J84" t="s" s="10">
        <v>352</v>
      </c>
    </row>
    <row r="85" spans="1:10">
      <c r="A85" s="9"/>
      <c r="B85" s="10"/>
      <c r="C85" s="10"/>
      <c r="D85" s="10"/>
      <c r="E85" s="10"/>
      <c r="F85" s="10"/>
      <c r="G85" s="10"/>
      <c r="H85" s="10"/>
      <c r="I85" s="10"/>
      <c r="J85" s="10"/>
    </row>
    <row r="86" spans="1:10">
      <c r="A86" s="9"/>
      <c r="B86" s="10"/>
      <c r="C86" s="10"/>
      <c r="D86" s="10"/>
      <c r="E86" s="10"/>
      <c r="F86" s="10"/>
      <c r="G86" s="10"/>
      <c r="H86" s="10"/>
      <c r="I86" s="10"/>
      <c r="J86" s="10"/>
    </row>
    <row r="87" spans="1:10">
      <c r="A87" s="9"/>
      <c r="B87" s="10"/>
      <c r="C87" s="10"/>
      <c r="D87" s="10"/>
      <c r="E87" s="10"/>
      <c r="F87" s="10"/>
      <c r="G87" s="10"/>
      <c r="H87" s="10"/>
      <c r="I87" s="10"/>
      <c r="J87" s="10"/>
    </row>
    <row r="88" spans="1:10">
      <c r="A88" s="9"/>
      <c r="B88" s="10"/>
      <c r="C88" s="10"/>
      <c r="D88" s="10"/>
      <c r="E88" s="10"/>
      <c r="F88" s="10"/>
      <c r="G88" s="10"/>
      <c r="H88" s="10"/>
      <c r="I88" s="10"/>
      <c r="J88" s="10"/>
    </row>
    <row r="89" spans="1:10">
      <c r="A89" s="9"/>
      <c r="B89" s="10"/>
      <c r="C89" s="10"/>
      <c r="D89" s="10"/>
      <c r="E89" s="10"/>
      <c r="F89" s="10"/>
      <c r="G89" s="10"/>
      <c r="H89" s="10"/>
      <c r="I89" s="10"/>
      <c r="J89" s="10"/>
    </row>
    <row r="90" spans="1:10">
      <c r="A90" s="9"/>
      <c r="B90" s="10"/>
      <c r="C90" s="10"/>
      <c r="D90" s="10"/>
      <c r="E90" s="10"/>
      <c r="F90" s="10"/>
      <c r="G90" s="10"/>
      <c r="H90" s="10"/>
      <c r="I90" s="10"/>
      <c r="J90" s="10"/>
    </row>
    <row r="91" spans="1:10">
      <c r="A91" s="9"/>
      <c r="B91" s="10"/>
      <c r="C91" s="10"/>
      <c r="D91" s="10"/>
      <c r="E91" s="10"/>
      <c r="F91" s="10"/>
      <c r="G91" s="10"/>
      <c r="H91" s="10"/>
      <c r="I91" s="10"/>
      <c r="J91" s="10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zoomScaleNormal="100" workbookViewId="0">
      <pane ySplit="1" topLeftCell="A2" activePane="bottomLeft" state="frozen"/>
      <selection pane="bottomLeft" activeCell="C50" sqref="C50"/>
    </sheetView>
  </sheetViews>
  <sheetFormatPr defaultRowHeight="17.399999999999999"/>
  <cols>
    <col min="1" max="1" width="19" customWidth="1"/>
    <col min="2" max="2" width="16" customWidth="1"/>
    <col min="3" max="3" width="17" customWidth="1"/>
    <col min="4" max="4" width="10" customWidth="1"/>
    <col min="5" max="5" width="50" customWidth="1"/>
  </cols>
  <sheetData>
    <row r="1" spans="1:5">
      <c r="A1" t="s" s="3">
        <v>202</v>
      </c>
      <c r="B1" t="s" s="3">
        <v>203</v>
      </c>
      <c r="C1" t="s" s="3">
        <v>204</v>
      </c>
      <c r="D1" t="s" s="3">
        <v>205</v>
      </c>
      <c r="E1" t="s" s="3">
        <v>72</v>
      </c>
    </row>
    <row r="2" spans="1:5">
      <c r="A2" t="s" s="11">
        <v>170</v>
      </c>
      <c r="B2" s="12">
        <v>1000</v>
      </c>
      <c r="C2" t="s" s="12">
        <v>118</v>
      </c>
      <c r="D2" s="12">
        <v>600</v>
      </c>
      <c r="E2" t="s" s="12">
        <v>206</v>
      </c>
    </row>
    <row r="3" spans="1:5">
      <c r="A3" t="s" s="11">
        <v>170</v>
      </c>
      <c r="B3" s="12">
        <v>1000</v>
      </c>
      <c r="C3" t="s" s="12">
        <v>130</v>
      </c>
      <c r="D3" s="12">
        <v>400</v>
      </c>
      <c r="E3" t="s" s="12">
        <v>207</v>
      </c>
    </row>
    <row r="4" spans="1:5">
      <c r="A4" t="s" s="7">
        <v>175</v>
      </c>
      <c r="B4" t="s" s="6">
        <v>77</v>
      </c>
      <c r="C4" t="s" s="5">
        <v>119</v>
      </c>
      <c r="D4" t="s" s="6">
        <v>77</v>
      </c>
      <c r="E4" t="s" s="5">
        <v>353</v>
      </c>
    </row>
    <row r="5" spans="1:5">
      <c r="A5" t="s" s="7">
        <v>175</v>
      </c>
      <c r="B5" t="s" s="6">
        <v>77</v>
      </c>
      <c r="C5" t="s" s="5">
        <v>130</v>
      </c>
      <c r="D5" t="s" s="6">
        <v>77</v>
      </c>
      <c r="E5" t="s" s="5">
        <v>354</v>
      </c>
    </row>
    <row r="6" spans="1:5">
      <c r="A6" t="s" s="7">
        <v>177</v>
      </c>
      <c r="B6" t="s" s="6">
        <v>77</v>
      </c>
      <c r="C6" t="s" s="5">
        <v>125</v>
      </c>
      <c r="D6" t="s" s="6">
        <v>77</v>
      </c>
      <c r="E6" s="5"/>
    </row>
    <row r="7" spans="1:5">
      <c r="A7" t="s" s="7">
        <v>177</v>
      </c>
      <c r="B7" t="s" s="6">
        <v>77</v>
      </c>
      <c r="C7" t="s" s="5">
        <v>130</v>
      </c>
      <c r="D7" t="s" s="6">
        <v>77</v>
      </c>
      <c r="E7" s="5"/>
    </row>
    <row r="8" spans="1:5">
      <c r="A8" t="s" s="7">
        <v>178</v>
      </c>
      <c r="B8" t="s" s="6">
        <v>77</v>
      </c>
      <c r="C8" t="s" s="5">
        <v>121</v>
      </c>
      <c r="D8" t="s" s="6">
        <v>77</v>
      </c>
      <c r="E8" s="5"/>
    </row>
    <row r="9" spans="1:5">
      <c r="A9" t="s" s="7">
        <v>178</v>
      </c>
      <c r="B9" t="s" s="6">
        <v>77</v>
      </c>
      <c r="C9" t="s" s="5">
        <v>130</v>
      </c>
      <c r="D9" t="s" s="6">
        <v>77</v>
      </c>
      <c r="E9" s="5"/>
    </row>
    <row r="10" spans="1:5">
      <c r="A10" t="s" s="7">
        <v>179</v>
      </c>
      <c r="B10" t="s" s="6">
        <v>77</v>
      </c>
      <c r="C10" t="s" s="5">
        <v>123</v>
      </c>
      <c r="D10" t="s" s="6">
        <v>77</v>
      </c>
      <c r="E10" t="s" s="8">
        <v>208</v>
      </c>
    </row>
    <row r="11" spans="1:5">
      <c r="A11" t="s" s="7">
        <v>179</v>
      </c>
      <c r="B11" t="s" s="6">
        <v>77</v>
      </c>
      <c r="C11" t="s" s="5">
        <v>130</v>
      </c>
      <c r="D11" t="s" s="6">
        <v>77</v>
      </c>
      <c r="E11" s="5"/>
    </row>
    <row r="12" spans="1:5">
      <c r="A12" t="s" s="7">
        <v>181</v>
      </c>
      <c r="B12" t="s" s="6">
        <v>77</v>
      </c>
      <c r="C12" t="s" s="5">
        <v>126</v>
      </c>
      <c r="D12" t="s" s="6">
        <v>77</v>
      </c>
      <c r="E12" s="5"/>
    </row>
    <row r="13" spans="1:5">
      <c r="A13" t="s" s="7">
        <v>181</v>
      </c>
      <c r="B13" t="s" s="6">
        <v>77</v>
      </c>
      <c r="C13" t="s" s="5">
        <v>130</v>
      </c>
      <c r="D13" t="s" s="6">
        <v>77</v>
      </c>
      <c r="E13" s="5"/>
    </row>
    <row r="14" spans="1:5">
      <c r="A14" t="s" s="7">
        <v>182</v>
      </c>
      <c r="B14" t="s" s="6">
        <v>77</v>
      </c>
      <c r="C14" t="s" s="5">
        <v>128</v>
      </c>
      <c r="D14" t="s" s="6">
        <v>77</v>
      </c>
      <c r="E14" s="5"/>
    </row>
    <row r="15" spans="1:5">
      <c r="A15" t="s" s="7">
        <v>182</v>
      </c>
      <c r="B15" t="s" s="6">
        <v>77</v>
      </c>
      <c r="C15" t="s" s="5">
        <v>130</v>
      </c>
      <c r="D15" t="s" s="6">
        <v>77</v>
      </c>
      <c r="E15" s="5"/>
    </row>
    <row r="16" spans="1:5">
      <c r="A16" t="s" s="7">
        <v>186</v>
      </c>
      <c r="B16" s="5">
        <v>80</v>
      </c>
      <c r="C16" t="s" s="5">
        <v>97</v>
      </c>
      <c r="D16" s="5">
        <v>20</v>
      </c>
      <c r="E16" t="s" s="5">
        <v>209</v>
      </c>
    </row>
    <row r="17" spans="1:5">
      <c r="A17" t="s" s="7">
        <v>186</v>
      </c>
      <c r="B17" s="5">
        <v>80</v>
      </c>
      <c r="C17" t="s" s="5">
        <v>351</v>
      </c>
      <c r="D17" s="5">
        <v>60</v>
      </c>
      <c r="E17" t="s" s="5">
        <v>355</v>
      </c>
    </row>
    <row r="18" spans="1:5">
      <c r="A18" t="s" s="11">
        <v>184</v>
      </c>
      <c r="B18" s="12">
        <v>200</v>
      </c>
      <c r="C18" t="s" s="12">
        <v>144</v>
      </c>
      <c r="D18" s="12">
        <v>100</v>
      </c>
      <c r="E18" t="s" s="12">
        <v>206</v>
      </c>
    </row>
    <row r="19" spans="1:5">
      <c r="A19" t="s" s="11">
        <v>184</v>
      </c>
      <c r="B19" s="12">
        <v>200</v>
      </c>
      <c r="C19" t="s" s="12">
        <v>130</v>
      </c>
      <c r="D19" s="12">
        <v>50</v>
      </c>
      <c r="E19" t="s" s="12">
        <v>207</v>
      </c>
    </row>
    <row r="20" spans="1:5">
      <c r="A20" t="s" s="11">
        <v>184</v>
      </c>
      <c r="B20" s="12">
        <v>200</v>
      </c>
      <c r="C20" t="s" s="12">
        <v>345</v>
      </c>
      <c r="D20" s="12">
        <v>50</v>
      </c>
      <c r="E20" t="s" s="12">
        <v>207</v>
      </c>
    </row>
    <row r="21" spans="1:5">
      <c r="A21" t="s" s="7">
        <v>188</v>
      </c>
      <c r="B21" t="s" s="6">
        <v>77</v>
      </c>
      <c r="C21" t="s" s="5">
        <v>144</v>
      </c>
      <c r="D21" t="s" s="6">
        <v>77</v>
      </c>
      <c r="E21" s="5"/>
    </row>
    <row r="22" spans="1:5">
      <c r="A22" t="s" s="7">
        <v>188</v>
      </c>
      <c r="B22" t="s" s="6">
        <v>77</v>
      </c>
      <c r="C22" t="s" s="5">
        <v>130</v>
      </c>
      <c r="D22" t="s" s="6">
        <v>77</v>
      </c>
      <c r="E22" s="5"/>
    </row>
    <row r="23" spans="1:5">
      <c r="A23" t="s" s="7">
        <v>189</v>
      </c>
      <c r="B23" t="s" s="6">
        <v>77</v>
      </c>
      <c r="C23" t="s" s="5">
        <v>73</v>
      </c>
      <c r="D23" t="s" s="6">
        <v>77</v>
      </c>
      <c r="E23" t="s" s="8">
        <v>210</v>
      </c>
    </row>
    <row r="24" spans="1:5">
      <c r="A24" t="s" s="7">
        <v>191</v>
      </c>
      <c r="B24" t="s" s="6">
        <v>77</v>
      </c>
      <c r="C24" t="s" s="5">
        <v>73</v>
      </c>
      <c r="D24" t="s" s="6">
        <v>77</v>
      </c>
      <c r="E24" t="s" s="8">
        <v>211</v>
      </c>
    </row>
    <row r="25" spans="1:5">
      <c r="A25" t="s" s="7">
        <v>191</v>
      </c>
      <c r="B25" t="s" s="6">
        <v>77</v>
      </c>
      <c r="C25" t="s" s="5">
        <v>167</v>
      </c>
      <c r="D25" t="s" s="6">
        <v>77</v>
      </c>
      <c r="E25" s="5"/>
    </row>
    <row r="26" spans="1:5">
      <c r="A26" t="s" s="7">
        <v>193</v>
      </c>
      <c r="B26" t="s" s="6">
        <v>77</v>
      </c>
      <c r="C26" t="s" s="5">
        <v>145</v>
      </c>
      <c r="D26" t="s" s="6">
        <v>77</v>
      </c>
      <c r="E26" t="s" s="8">
        <v>212</v>
      </c>
    </row>
    <row r="27" spans="1:5">
      <c r="A27" t="s" s="7">
        <v>193</v>
      </c>
      <c r="B27" t="s" s="6">
        <v>77</v>
      </c>
      <c r="C27" t="s" s="5">
        <v>133</v>
      </c>
      <c r="D27" t="s" s="6">
        <v>77</v>
      </c>
      <c r="E27" s="5"/>
    </row>
    <row r="28" spans="1:5">
      <c r="A28" t="s" s="7">
        <v>193</v>
      </c>
      <c r="B28" t="s" s="6">
        <v>77</v>
      </c>
      <c r="C28" t="s" s="5">
        <v>130</v>
      </c>
      <c r="D28" t="s" s="6">
        <v>77</v>
      </c>
      <c r="E28" s="5"/>
    </row>
    <row r="29" spans="1:5">
      <c r="A29" t="s" s="7">
        <v>193</v>
      </c>
      <c r="B29" t="s" s="6">
        <v>77</v>
      </c>
      <c r="C29" t="s" s="5">
        <v>152</v>
      </c>
      <c r="D29" t="s" s="6">
        <v>77</v>
      </c>
      <c r="E29" s="5"/>
    </row>
    <row r="30" spans="1:5">
      <c r="A30" t="s" s="7">
        <v>193</v>
      </c>
      <c r="B30" t="s" s="6">
        <v>77</v>
      </c>
      <c r="C30" t="s" s="5">
        <v>146</v>
      </c>
      <c r="D30" t="s" s="6">
        <v>77</v>
      </c>
      <c r="E30" s="5"/>
    </row>
    <row r="31" spans="1:5">
      <c r="A31" t="s" s="7">
        <v>195</v>
      </c>
      <c r="B31" t="s" s="6">
        <v>77</v>
      </c>
      <c r="C31" t="s" s="5">
        <v>142</v>
      </c>
      <c r="D31" t="s" s="6">
        <v>77</v>
      </c>
      <c r="E31" t="s" s="8">
        <v>213</v>
      </c>
    </row>
    <row r="32" spans="1:5">
      <c r="A32" t="s" s="7">
        <v>195</v>
      </c>
      <c r="B32" t="s" s="6">
        <v>77</v>
      </c>
      <c r="C32" t="s" s="5">
        <v>130</v>
      </c>
      <c r="D32" t="s" s="6">
        <v>77</v>
      </c>
      <c r="E32" s="5"/>
    </row>
    <row r="33" spans="1:5">
      <c r="A33" t="s" s="7">
        <v>195</v>
      </c>
      <c r="B33" t="s" s="6">
        <v>77</v>
      </c>
      <c r="C33" t="s" s="5">
        <v>146</v>
      </c>
      <c r="D33" t="s" s="6">
        <v>77</v>
      </c>
      <c r="E33" s="5"/>
    </row>
    <row r="34" spans="1:5">
      <c r="A34" t="s" s="7">
        <v>195</v>
      </c>
      <c r="B34" t="s" s="6">
        <v>77</v>
      </c>
      <c r="C34" t="s" s="5">
        <v>145</v>
      </c>
      <c r="D34" t="s" s="6">
        <v>77</v>
      </c>
      <c r="E34" s="5"/>
    </row>
    <row r="35" spans="1:5">
      <c r="A35" t="s" s="7">
        <v>197</v>
      </c>
      <c r="B35" t="s" s="6">
        <v>77</v>
      </c>
      <c r="C35" t="s" s="5">
        <v>145</v>
      </c>
      <c r="D35" t="s" s="6">
        <v>77</v>
      </c>
      <c r="E35" t="s" s="8">
        <v>214</v>
      </c>
    </row>
    <row r="36" spans="1:5">
      <c r="A36" t="s" s="7">
        <v>197</v>
      </c>
      <c r="B36" t="s" s="6">
        <v>77</v>
      </c>
      <c r="C36" t="s" s="5">
        <v>133</v>
      </c>
      <c r="D36" t="s" s="6">
        <v>77</v>
      </c>
      <c r="E36" s="5"/>
    </row>
    <row r="37" spans="1:5">
      <c r="A37" t="s" s="7">
        <v>198</v>
      </c>
      <c r="B37" t="s" s="6">
        <v>77</v>
      </c>
      <c r="C37" t="s" s="5">
        <v>145</v>
      </c>
      <c r="D37" t="s" s="6">
        <v>77</v>
      </c>
      <c r="E37" s="5"/>
    </row>
    <row r="38" spans="1:5">
      <c r="A38" t="s" s="7">
        <v>198</v>
      </c>
      <c r="B38" t="s" s="6">
        <v>77</v>
      </c>
      <c r="C38" t="s" s="5">
        <v>133</v>
      </c>
      <c r="D38" t="s" s="6">
        <v>77</v>
      </c>
      <c r="E38" s="5"/>
    </row>
    <row r="39" spans="1:5">
      <c r="A39" t="s" s="7">
        <v>199</v>
      </c>
      <c r="B39" t="s" s="6">
        <v>77</v>
      </c>
      <c r="C39" t="s" s="5">
        <v>145</v>
      </c>
      <c r="D39" t="s" s="6">
        <v>77</v>
      </c>
      <c r="E39" s="5"/>
    </row>
    <row r="40" spans="1:5">
      <c r="A40" t="s" s="7">
        <v>199</v>
      </c>
      <c r="B40" t="s" s="6">
        <v>77</v>
      </c>
      <c r="C40" t="s" s="5">
        <v>146</v>
      </c>
      <c r="D40" t="s" s="6">
        <v>77</v>
      </c>
      <c r="E40" s="5"/>
    </row>
    <row r="41" spans="1:5">
      <c r="A41" t="s" s="7">
        <v>199</v>
      </c>
      <c r="B41" t="s" s="6">
        <v>77</v>
      </c>
      <c r="C41" t="s" s="5">
        <v>133</v>
      </c>
      <c r="D41" t="s" s="6">
        <v>77</v>
      </c>
      <c r="E41" s="5"/>
    </row>
    <row r="42" spans="1:5">
      <c r="A42" t="s" s="7">
        <v>200</v>
      </c>
      <c r="B42" t="s" s="6">
        <v>77</v>
      </c>
      <c r="C42" t="s" s="5">
        <v>145</v>
      </c>
      <c r="D42" t="s" s="6">
        <v>77</v>
      </c>
      <c r="E42" s="5"/>
    </row>
    <row r="43" spans="1:5">
      <c r="A43" t="s" s="7">
        <v>200</v>
      </c>
      <c r="B43" t="s" s="6">
        <v>77</v>
      </c>
      <c r="C43" t="s" s="5">
        <v>147</v>
      </c>
      <c r="D43" t="s" s="6">
        <v>77</v>
      </c>
      <c r="E43" s="5"/>
    </row>
    <row r="44" spans="1:5">
      <c r="A44" t="s" s="7">
        <v>200</v>
      </c>
      <c r="B44" t="s" s="6">
        <v>77</v>
      </c>
      <c r="C44" t="s" s="5">
        <v>133</v>
      </c>
      <c r="D44" t="s" s="6">
        <v>77</v>
      </c>
      <c r="E44" s="5"/>
    </row>
    <row r="45">
      <c r="A45" t="s">
        <v>85</v>
      </c>
      <c r="B45" t="s">
        <v>77</v>
      </c>
      <c r="C45" t="s">
        <v>77</v>
      </c>
      <c r="D45" t="s">
        <v>77</v>
      </c>
      <c r="E45" t="s">
        <v>356</v>
      </c>
    </row>
    <row r="46">
      <c r="A46" t="s">
        <v>351</v>
      </c>
      <c r="B46">
        <v>2364</v>
      </c>
      <c r="C46" t="s">
        <v>343</v>
      </c>
      <c r="D46">
        <v>480</v>
      </c>
      <c r="E46" t="s">
        <v>357</v>
      </c>
    </row>
    <row r="47">
      <c r="A47" t="s">
        <v>351</v>
      </c>
      <c r="B47">
        <v>2364</v>
      </c>
      <c r="C47" t="s">
        <v>342</v>
      </c>
      <c r="D47">
        <v>1500</v>
      </c>
      <c r="E47" t="s">
        <v>358</v>
      </c>
    </row>
    <row r="48">
      <c r="A48" t="s">
        <v>351</v>
      </c>
      <c r="B48">
        <v>2364</v>
      </c>
      <c r="C48" t="s">
        <v>130</v>
      </c>
      <c r="D48">
        <v>384</v>
      </c>
      <c r="E48" t="s">
        <v>359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workbookViewId="0">
      <pane ySplit="1" topLeftCell="A2" activePane="bottomLeft" state="frozen"/>
      <selection pane="bottomLeft" activeCell="D25" sqref="D25:D27"/>
    </sheetView>
  </sheetViews>
  <sheetFormatPr defaultRowHeight="17.399999999999999"/>
  <cols>
    <col min="1" max="1" width="37" customWidth="1"/>
    <col min="2" max="2" width="16" customWidth="1"/>
    <col min="3" max="3" width="25" customWidth="1"/>
    <col min="4" max="4" width="10" customWidth="1"/>
    <col min="5" max="5" width="48" customWidth="1"/>
  </cols>
  <sheetData>
    <row r="1" spans="1:5">
      <c r="A1" t="s" s="3">
        <v>215</v>
      </c>
      <c r="B1" t="s" s="3">
        <v>216</v>
      </c>
      <c r="C1" t="s" s="3">
        <v>63</v>
      </c>
      <c r="D1" t="s" s="3">
        <v>205</v>
      </c>
      <c r="E1" t="s" s="3">
        <v>217</v>
      </c>
    </row>
    <row r="2" spans="1:5">
      <c r="A2" t="s" s="7">
        <v>218</v>
      </c>
      <c r="B2" t="s" s="5">
        <v>219</v>
      </c>
      <c r="C2" t="s" s="5">
        <v>179</v>
      </c>
      <c r="D2" s="5">
        <v>35</v>
      </c>
      <c r="E2" t="s" s="5">
        <v>341</v>
      </c>
    </row>
    <row r="3" spans="1:5">
      <c r="A3" t="s" s="7">
        <v>218</v>
      </c>
      <c r="B3" t="s" s="5">
        <v>219</v>
      </c>
      <c r="C3" t="s" s="5">
        <v>102</v>
      </c>
      <c r="D3" s="5">
        <v>2.5</v>
      </c>
      <c r="E3" t="s" s="5">
        <v>86</v>
      </c>
    </row>
    <row r="4" spans="1:5">
      <c r="A4" t="s" s="7">
        <v>218</v>
      </c>
      <c r="B4" t="s" s="5">
        <v>219</v>
      </c>
      <c r="C4" t="s" s="5">
        <v>114</v>
      </c>
      <c r="D4" t="s" s="6">
        <v>77</v>
      </c>
      <c r="E4" t="s" s="5">
        <v>115</v>
      </c>
    </row>
    <row r="5" spans="1:5">
      <c r="A5" t="s" s="7">
        <v>220</v>
      </c>
      <c r="B5" t="s" s="5">
        <v>219</v>
      </c>
      <c r="C5" t="s" s="5">
        <v>175</v>
      </c>
      <c r="D5" s="5">
        <v>50</v>
      </c>
      <c r="E5" t="s" s="5">
        <v>341</v>
      </c>
    </row>
    <row r="6" spans="1:5">
      <c r="A6" t="s" s="7">
        <v>220</v>
      </c>
      <c r="B6" t="s" s="5">
        <v>219</v>
      </c>
      <c r="C6" t="s" s="5">
        <v>119</v>
      </c>
      <c r="D6" s="5">
        <v>2.5</v>
      </c>
      <c r="E6" t="s" s="5">
        <v>341</v>
      </c>
    </row>
    <row r="7" spans="1:5">
      <c r="A7" t="s" s="7">
        <v>220</v>
      </c>
      <c r="B7" t="s" s="5">
        <v>219</v>
      </c>
      <c r="C7" t="s" s="5">
        <v>103</v>
      </c>
      <c r="D7" s="5">
        <v>2</v>
      </c>
      <c r="E7" t="s" s="5">
        <v>86</v>
      </c>
    </row>
    <row r="8" spans="1:5">
      <c r="A8" t="s" s="7">
        <v>220</v>
      </c>
      <c r="B8" t="s" s="5">
        <v>219</v>
      </c>
      <c r="C8" t="s" s="5">
        <v>114</v>
      </c>
      <c r="D8" t="s" s="6">
        <v>77</v>
      </c>
      <c r="E8" t="s" s="5">
        <v>115</v>
      </c>
    </row>
    <row r="9" spans="1:5">
      <c r="A9" t="s" s="7">
        <v>221</v>
      </c>
      <c r="B9" t="s" s="5">
        <v>219</v>
      </c>
      <c r="C9" t="s" s="5">
        <v>170</v>
      </c>
      <c r="D9" s="5">
        <v>65</v>
      </c>
      <c r="E9" t="s" s="5">
        <v>341</v>
      </c>
    </row>
    <row r="10" spans="1:5">
      <c r="A10" t="s" s="7">
        <v>221</v>
      </c>
      <c r="B10" t="s" s="5">
        <v>219</v>
      </c>
      <c r="C10" t="s" s="5">
        <v>114</v>
      </c>
      <c r="D10" t="s" s="6">
        <v>77</v>
      </c>
      <c r="E10" t="s" s="5">
        <v>115</v>
      </c>
    </row>
    <row r="11" spans="1:5">
      <c r="A11" t="s" s="7">
        <v>222</v>
      </c>
      <c r="B11" t="s" s="5">
        <v>219</v>
      </c>
      <c r="C11" t="s" s="5">
        <v>177</v>
      </c>
      <c r="D11" s="5">
        <v>75</v>
      </c>
      <c r="E11" t="s" s="5">
        <v>341</v>
      </c>
    </row>
    <row r="12" spans="1:5">
      <c r="A12" t="s" s="7">
        <v>222</v>
      </c>
      <c r="B12" t="s" s="5">
        <v>219</v>
      </c>
      <c r="C12" t="s" s="5">
        <v>104</v>
      </c>
      <c r="D12" s="5">
        <v>1.5</v>
      </c>
      <c r="E12" t="s" s="5">
        <v>86</v>
      </c>
    </row>
    <row r="13" spans="1:5">
      <c r="A13" t="s" s="7">
        <v>222</v>
      </c>
      <c r="B13" t="s" s="5">
        <v>219</v>
      </c>
      <c r="C13" t="s" s="5">
        <v>105</v>
      </c>
      <c r="D13" s="5">
        <v>0.5</v>
      </c>
      <c r="E13" t="s" s="5">
        <v>86</v>
      </c>
    </row>
    <row r="14" spans="1:5">
      <c r="A14" t="s" s="7">
        <v>222</v>
      </c>
      <c r="B14" t="s" s="5">
        <v>219</v>
      </c>
      <c r="C14" t="s" s="5">
        <v>114</v>
      </c>
      <c r="D14" t="s" s="6">
        <v>77</v>
      </c>
      <c r="E14" t="s" s="5">
        <v>115</v>
      </c>
    </row>
    <row r="15" spans="1:5">
      <c r="A15" t="s" s="7">
        <v>223</v>
      </c>
      <c r="B15" t="s" s="5">
        <v>224</v>
      </c>
      <c r="C15" t="s" s="5">
        <v>181</v>
      </c>
      <c r="D15" s="5">
        <v>100</v>
      </c>
      <c r="E15" t="s" s="5">
        <v>225</v>
      </c>
    </row>
    <row r="16" spans="1:5">
      <c r="A16" t="s" s="7">
        <v>223</v>
      </c>
      <c r="B16" t="s" s="5">
        <v>224</v>
      </c>
      <c r="C16" t="s" s="5">
        <v>83</v>
      </c>
      <c r="D16" s="5">
        <v>200</v>
      </c>
      <c r="E16" t="s" s="5">
        <v>341</v>
      </c>
    </row>
    <row r="17" spans="1:5">
      <c r="A17" t="s" s="7">
        <v>226</v>
      </c>
      <c r="B17" t="s" s="5">
        <v>224</v>
      </c>
      <c r="C17" t="s" s="5">
        <v>88</v>
      </c>
      <c r="D17" s="5">
        <v>50</v>
      </c>
      <c r="E17" t="s" s="5">
        <v>341</v>
      </c>
    </row>
    <row r="18" spans="1:5">
      <c r="A18" t="s" s="7">
        <v>226</v>
      </c>
      <c r="B18" t="s" s="5">
        <v>224</v>
      </c>
      <c r="C18" t="s" s="5">
        <v>83</v>
      </c>
      <c r="D18" s="5">
        <v>250</v>
      </c>
      <c r="E18" t="s" s="5">
        <v>341</v>
      </c>
    </row>
    <row r="19" spans="1:5">
      <c r="A19" t="s" s="7">
        <v>226</v>
      </c>
      <c r="B19" t="s" s="5">
        <v>224</v>
      </c>
      <c r="C19" t="s" s="5">
        <v>94</v>
      </c>
      <c r="D19" s="5">
        <v>1</v>
      </c>
      <c r="E19" t="s" s="5">
        <v>90</v>
      </c>
    </row>
    <row r="20" spans="1:5">
      <c r="A20" t="s" s="7">
        <v>226</v>
      </c>
      <c r="B20" t="s" s="5">
        <v>224</v>
      </c>
      <c r="C20" t="s" s="5">
        <v>95</v>
      </c>
      <c r="D20" s="5">
        <v>1</v>
      </c>
      <c r="E20" t="s" s="5">
        <v>90</v>
      </c>
    </row>
    <row r="21" spans="1:5">
      <c r="A21" t="s" s="7">
        <v>227</v>
      </c>
      <c r="B21" t="s" s="5">
        <v>224</v>
      </c>
      <c r="C21" t="s" s="5">
        <v>88</v>
      </c>
      <c r="D21" s="5">
        <v>50</v>
      </c>
      <c r="E21" t="s" s="5">
        <v>341</v>
      </c>
    </row>
    <row r="22" spans="1:5">
      <c r="A22" t="s" s="7">
        <v>227</v>
      </c>
      <c r="B22" t="s" s="5">
        <v>224</v>
      </c>
      <c r="C22" t="s" s="5">
        <v>83</v>
      </c>
      <c r="D22" s="5">
        <v>250</v>
      </c>
      <c r="E22" t="s" s="5">
        <v>341</v>
      </c>
    </row>
    <row r="23" spans="1:5">
      <c r="A23" t="s" s="7">
        <v>227</v>
      </c>
      <c r="B23" t="s" s="5">
        <v>224</v>
      </c>
      <c r="C23" t="s" s="5">
        <v>94</v>
      </c>
      <c r="D23" s="5">
        <v>1</v>
      </c>
      <c r="E23" t="s" s="5">
        <v>90</v>
      </c>
    </row>
    <row r="24" spans="1:5">
      <c r="A24" t="s" s="7">
        <v>227</v>
      </c>
      <c r="B24" t="s" s="5">
        <v>224</v>
      </c>
      <c r="C24" t="s" s="5">
        <v>95</v>
      </c>
      <c r="D24" s="5">
        <v>1</v>
      </c>
      <c r="E24" t="s" s="5">
        <v>90</v>
      </c>
    </row>
    <row r="25" spans="1:5">
      <c r="A25" t="s" s="7">
        <v>228</v>
      </c>
      <c r="B25" t="s" s="5">
        <v>229</v>
      </c>
      <c r="C25" t="s" s="5">
        <v>189</v>
      </c>
      <c r="D25" t="s" s="6">
        <v>77</v>
      </c>
      <c r="E25" t="s" s="5">
        <v>115</v>
      </c>
    </row>
    <row r="26" spans="1:5">
      <c r="A26" t="s" s="7">
        <v>228</v>
      </c>
      <c r="B26" t="s" s="5">
        <v>229</v>
      </c>
      <c r="C26" t="s" s="5">
        <v>83</v>
      </c>
      <c r="D26" t="s" s="6">
        <v>77</v>
      </c>
      <c r="E26" t="s" s="5">
        <v>341</v>
      </c>
    </row>
    <row r="27" spans="1:5">
      <c r="A27" t="s" s="7">
        <v>230</v>
      </c>
      <c r="B27" t="s" s="5">
        <v>229</v>
      </c>
      <c r="C27" t="s" s="5">
        <v>189</v>
      </c>
      <c r="D27" t="s" s="6">
        <v>77</v>
      </c>
      <c r="E27" t="s" s="5">
        <v>115</v>
      </c>
    </row>
    <row r="28" spans="1:5">
      <c r="A28" t="s" s="7">
        <v>231</v>
      </c>
      <c r="B28" t="s" s="5">
        <v>229</v>
      </c>
      <c r="C28" t="s" s="5">
        <v>191</v>
      </c>
      <c r="D28" s="5">
        <v>1</v>
      </c>
      <c r="E28" t="s" s="8">
        <v>232</v>
      </c>
    </row>
    <row r="29" spans="1:5">
      <c r="A29" t="s" s="7">
        <v>233</v>
      </c>
      <c r="B29" t="s" s="5">
        <v>229</v>
      </c>
      <c r="C29" t="s" s="5">
        <v>73</v>
      </c>
      <c r="D29" s="5">
        <v>18</v>
      </c>
      <c r="E29" t="s" s="5">
        <v>341</v>
      </c>
    </row>
    <row r="30" spans="1:5">
      <c r="A30" t="s" s="7">
        <v>233</v>
      </c>
      <c r="B30" t="s" s="5">
        <v>229</v>
      </c>
      <c r="C30" t="s" s="5">
        <v>83</v>
      </c>
      <c r="D30" s="5">
        <v>250</v>
      </c>
      <c r="E30" t="s" s="5">
        <v>341</v>
      </c>
    </row>
    <row r="31" spans="1:5">
      <c r="A31" t="s" s="7">
        <v>233</v>
      </c>
      <c r="B31" t="s" s="5">
        <v>229</v>
      </c>
      <c r="C31" t="s" s="5">
        <v>85</v>
      </c>
      <c r="D31" s="5">
        <v>2.5</v>
      </c>
      <c r="E31" t="s" s="5">
        <v>86</v>
      </c>
    </row>
    <row r="32" spans="1:5">
      <c r="A32" t="s" s="7">
        <v>234</v>
      </c>
      <c r="B32" t="s" s="5">
        <v>229</v>
      </c>
      <c r="C32" t="s" s="5">
        <v>73</v>
      </c>
      <c r="D32" s="5">
        <v>18</v>
      </c>
      <c r="E32" t="s" s="5">
        <v>341</v>
      </c>
    </row>
    <row r="33" spans="1:5">
      <c r="A33" t="s" s="7">
        <v>234</v>
      </c>
      <c r="B33" t="s" s="5">
        <v>229</v>
      </c>
      <c r="C33" t="s" s="5">
        <v>83</v>
      </c>
      <c r="D33" s="5">
        <v>210</v>
      </c>
      <c r="E33" t="s" s="5">
        <v>341</v>
      </c>
    </row>
    <row r="34" spans="1:5">
      <c r="A34" t="s" s="7">
        <v>234</v>
      </c>
      <c r="B34" t="s" s="5">
        <v>229</v>
      </c>
      <c r="C34" t="s" s="5">
        <v>85</v>
      </c>
      <c r="D34" s="5">
        <v>1.5</v>
      </c>
      <c r="E34" t="s" s="5">
        <v>86</v>
      </c>
    </row>
    <row r="35" spans="1:5">
      <c r="A35" t="s" s="7">
        <v>234</v>
      </c>
      <c r="B35" t="s" s="5">
        <v>229</v>
      </c>
      <c r="C35" t="s" s="5">
        <v>351</v>
      </c>
      <c r="D35" t="s" s="6">
        <v>77</v>
      </c>
      <c r="E35" t="s" s="5">
        <v>360</v>
      </c>
    </row>
    <row r="36" spans="1:5">
      <c r="A36" t="s" s="7">
        <v>234</v>
      </c>
      <c r="B36" t="s" s="5">
        <v>229</v>
      </c>
      <c r="C36" t="s" s="5">
        <v>92</v>
      </c>
      <c r="D36" s="5">
        <v>1</v>
      </c>
      <c r="E36" t="s" s="5">
        <v>90</v>
      </c>
    </row>
    <row r="37" spans="1:5">
      <c r="A37" t="s" s="7">
        <v>235</v>
      </c>
      <c r="B37" t="s" s="5">
        <v>229</v>
      </c>
      <c r="C37" t="s" s="5">
        <v>73</v>
      </c>
      <c r="D37" s="5">
        <v>18</v>
      </c>
      <c r="E37" t="s" s="5">
        <v>236</v>
      </c>
    </row>
    <row r="38" spans="1:5">
      <c r="A38" t="s" s="7">
        <v>237</v>
      </c>
      <c r="B38" t="s" s="5">
        <v>229</v>
      </c>
      <c r="C38" t="s" s="5">
        <v>73</v>
      </c>
      <c r="D38" s="5">
        <v>18</v>
      </c>
      <c r="E38" t="s" s="5">
        <v>238</v>
      </c>
    </row>
    <row r="39" spans="1:5">
      <c r="A39" t="s" s="7">
        <v>239</v>
      </c>
      <c r="B39" t="s" s="5">
        <v>229</v>
      </c>
      <c r="C39" t="s" s="5">
        <v>73</v>
      </c>
      <c r="D39" s="5">
        <v>18</v>
      </c>
      <c r="E39" t="s" s="5">
        <v>341</v>
      </c>
    </row>
    <row r="40" spans="1:5">
      <c r="A40" t="s" s="7">
        <v>239</v>
      </c>
      <c r="B40" t="s" s="5">
        <v>229</v>
      </c>
      <c r="C40" t="s" s="5">
        <v>83</v>
      </c>
      <c r="D40" s="5">
        <v>250</v>
      </c>
      <c r="E40" t="s" s="5">
        <v>240</v>
      </c>
    </row>
    <row r="41" spans="1:5">
      <c r="A41" t="s" s="7">
        <v>241</v>
      </c>
      <c r="B41" t="s" s="5">
        <v>229</v>
      </c>
      <c r="C41" t="s" s="5">
        <v>73</v>
      </c>
      <c r="D41" s="5">
        <v>18</v>
      </c>
      <c r="E41" t="s" s="5">
        <v>341</v>
      </c>
    </row>
    <row r="42" spans="1:5">
      <c r="A42" t="s" s="7">
        <v>241</v>
      </c>
      <c r="B42" t="s" s="5">
        <v>229</v>
      </c>
      <c r="C42" t="s" s="5">
        <v>83</v>
      </c>
      <c r="D42" s="5">
        <v>250</v>
      </c>
      <c r="E42" t="s" s="5">
        <v>341</v>
      </c>
    </row>
    <row r="43" spans="1:5">
      <c r="A43" t="s" s="7">
        <v>241</v>
      </c>
      <c r="B43" t="s" s="5">
        <v>229</v>
      </c>
      <c r="C43" t="s" s="5">
        <v>88</v>
      </c>
      <c r="D43" s="5">
        <v>30</v>
      </c>
      <c r="E43" t="s" s="5">
        <v>341</v>
      </c>
    </row>
    <row r="44" spans="1:5">
      <c r="A44" t="s" s="7">
        <v>242</v>
      </c>
      <c r="B44" t="s" s="5">
        <v>243</v>
      </c>
      <c r="C44" t="s" s="5">
        <v>193</v>
      </c>
      <c r="D44" s="5">
        <v>4</v>
      </c>
      <c r="E44" t="s" s="5">
        <v>346</v>
      </c>
    </row>
    <row r="45" spans="1:5">
      <c r="A45" t="s" s="7">
        <v>242</v>
      </c>
      <c r="B45" t="s" s="5">
        <v>243</v>
      </c>
      <c r="C45" t="s" s="5">
        <v>199</v>
      </c>
      <c r="D45" s="5">
        <v>1</v>
      </c>
      <c r="E45" t="s" s="8">
        <v>244</v>
      </c>
    </row>
    <row r="46" spans="1:5">
      <c r="A46" t="s" s="7">
        <v>242</v>
      </c>
      <c r="B46" t="s" s="5">
        <v>243</v>
      </c>
      <c r="C46" t="s" s="5">
        <v>198</v>
      </c>
      <c r="D46" s="5">
        <v>1</v>
      </c>
      <c r="E46" t="s" s="5">
        <v>346</v>
      </c>
    </row>
    <row r="47" spans="1:5">
      <c r="A47" t="s" s="7">
        <v>245</v>
      </c>
      <c r="B47" t="s" s="5">
        <v>243</v>
      </c>
      <c r="C47" t="s" s="5">
        <v>199</v>
      </c>
      <c r="D47" s="5">
        <v>1</v>
      </c>
      <c r="E47" t="s" s="5">
        <v>246</v>
      </c>
    </row>
    <row r="48" spans="1:5">
      <c r="A48" t="s" s="7">
        <v>247</v>
      </c>
      <c r="B48" t="s" s="5">
        <v>243</v>
      </c>
      <c r="C48" t="s" s="5">
        <v>188</v>
      </c>
      <c r="D48" s="5">
        <v>35</v>
      </c>
      <c r="E48" t="s" s="5">
        <v>341</v>
      </c>
    </row>
    <row r="49" spans="1:5">
      <c r="A49" t="s" s="7">
        <v>247</v>
      </c>
      <c r="B49" t="s" s="5">
        <v>243</v>
      </c>
      <c r="C49" t="s" s="5">
        <v>184</v>
      </c>
      <c r="D49" s="5">
        <v>110</v>
      </c>
      <c r="E49" t="s" s="5">
        <v>341</v>
      </c>
    </row>
    <row r="50" spans="1:5">
      <c r="A50" t="s" s="7">
        <v>248</v>
      </c>
      <c r="B50" t="s" s="5">
        <v>243</v>
      </c>
      <c r="C50" t="s" s="5">
        <v>188</v>
      </c>
      <c r="D50" s="5">
        <v>25</v>
      </c>
      <c r="E50" t="s" s="5">
        <v>341</v>
      </c>
    </row>
    <row r="51" spans="1:5">
      <c r="A51" t="s" s="7">
        <v>248</v>
      </c>
      <c r="B51" t="s" s="5">
        <v>243</v>
      </c>
      <c r="C51" t="s" s="5">
        <v>184</v>
      </c>
      <c r="D51" s="5">
        <v>50</v>
      </c>
      <c r="E51" t="s" s="5">
        <v>341</v>
      </c>
    </row>
    <row r="52" spans="1:5">
      <c r="A52" t="s" s="7">
        <v>249</v>
      </c>
      <c r="B52" t="s" s="5">
        <v>243</v>
      </c>
      <c r="C52" t="s" s="5">
        <v>199</v>
      </c>
      <c r="D52" t="s" s="6">
        <v>77</v>
      </c>
      <c r="E52" t="s" s="8">
        <v>250</v>
      </c>
    </row>
    <row r="53" spans="1:5">
      <c r="A53" t="s" s="7">
        <v>195</v>
      </c>
      <c r="B53" t="s" s="5">
        <v>243</v>
      </c>
      <c r="C53" t="s" s="5">
        <v>195</v>
      </c>
      <c r="D53" s="5">
        <v>1</v>
      </c>
      <c r="E53" t="s" s="5">
        <v>134</v>
      </c>
    </row>
    <row r="54" spans="1:5">
      <c r="A54" t="s" s="7">
        <v>251</v>
      </c>
      <c r="B54" t="s" s="5">
        <v>243</v>
      </c>
      <c r="C54" t="s" s="5">
        <v>197</v>
      </c>
      <c r="D54" s="5">
        <v>1</v>
      </c>
      <c r="E54" t="s" s="8">
        <v>252</v>
      </c>
    </row>
    <row r="55" spans="1:5">
      <c r="A55" t="s" s="7">
        <v>251</v>
      </c>
      <c r="B55" t="s" s="5">
        <v>243</v>
      </c>
      <c r="C55" t="s" s="5">
        <v>132</v>
      </c>
      <c r="D55" t="s" s="6">
        <v>77</v>
      </c>
      <c r="E55" t="s" s="5">
        <v>341</v>
      </c>
    </row>
    <row r="56" spans="1:5">
      <c r="A56" t="s" s="7">
        <v>251</v>
      </c>
      <c r="B56" t="s" s="5">
        <v>243</v>
      </c>
      <c r="C56" t="s" s="5">
        <v>73</v>
      </c>
      <c r="D56" s="5">
        <v>18</v>
      </c>
      <c r="E56" t="s" s="5">
        <v>253</v>
      </c>
    </row>
    <row r="57" spans="1:5">
      <c r="A57" t="s" s="7">
        <v>254</v>
      </c>
      <c r="B57" t="s" s="5">
        <v>243</v>
      </c>
      <c r="C57" t="s" s="5">
        <v>193</v>
      </c>
      <c r="D57" t="s" s="6">
        <v>77</v>
      </c>
      <c r="E57" t="s" s="8">
        <v>250</v>
      </c>
    </row>
    <row r="58" spans="1:5">
      <c r="A58" t="s" s="7">
        <v>255</v>
      </c>
      <c r="B58" t="s" s="5">
        <v>243</v>
      </c>
      <c r="C58" t="s" s="5">
        <v>148</v>
      </c>
      <c r="D58" s="5">
        <v>1</v>
      </c>
      <c r="E58" t="s" s="5">
        <v>346</v>
      </c>
    </row>
    <row r="59" spans="1:5">
      <c r="A59" t="s" s="7">
        <v>255</v>
      </c>
      <c r="B59" t="s" s="5">
        <v>243</v>
      </c>
      <c r="C59" t="s" s="5">
        <v>150</v>
      </c>
      <c r="D59" t="s" s="6">
        <v>77</v>
      </c>
      <c r="E59" t="s" s="5">
        <v>341</v>
      </c>
    </row>
    <row r="60" spans="1:5">
      <c r="A60" t="s" s="7">
        <v>256</v>
      </c>
      <c r="B60" t="s" s="5">
        <v>243</v>
      </c>
      <c r="C60" t="s" s="5">
        <v>197</v>
      </c>
      <c r="D60" s="5">
        <v>1</v>
      </c>
      <c r="E60" t="s" s="5">
        <v>257</v>
      </c>
    </row>
    <row r="61" spans="1:5">
      <c r="A61" t="s" s="7">
        <v>256</v>
      </c>
      <c r="B61" t="s" s="5">
        <v>243</v>
      </c>
      <c r="C61" t="s" s="5">
        <v>142</v>
      </c>
      <c r="D61" t="s" s="6">
        <v>77</v>
      </c>
      <c r="E61" t="s" s="5">
        <v>341</v>
      </c>
    </row>
    <row r="62" spans="1:5">
      <c r="A62" t="s" s="7">
        <v>258</v>
      </c>
      <c r="B62" t="s" s="5">
        <v>243</v>
      </c>
      <c r="C62" t="s" s="5">
        <v>198</v>
      </c>
      <c r="D62" s="5">
        <v>1</v>
      </c>
      <c r="E62" t="s" s="5">
        <v>246</v>
      </c>
    </row>
    <row r="63" spans="1:5">
      <c r="A63" t="s" s="7">
        <v>259</v>
      </c>
      <c r="B63" t="s" s="5">
        <v>243</v>
      </c>
      <c r="C63" t="s" s="5">
        <v>200</v>
      </c>
      <c r="D63" s="5">
        <v>1</v>
      </c>
      <c r="E63" t="s" s="5">
        <v>346</v>
      </c>
    </row>
    <row r="64" spans="1:5">
      <c r="A64" t="s" s="7">
        <v>260</v>
      </c>
      <c r="B64" t="s" s="5">
        <v>261</v>
      </c>
      <c r="C64" t="s" s="5">
        <v>189</v>
      </c>
      <c r="D64" s="5">
        <v>260</v>
      </c>
      <c r="E64" t="s" s="5">
        <v>262</v>
      </c>
    </row>
    <row r="65" spans="1:5">
      <c r="A65" t="s" s="7">
        <v>263</v>
      </c>
      <c r="B65" t="s" s="5">
        <v>261</v>
      </c>
      <c r="C65" t="s" s="5">
        <v>189</v>
      </c>
      <c r="D65" s="5">
        <v>450</v>
      </c>
      <c r="E65" t="s" s="5">
        <v>262</v>
      </c>
    </row>
    <row r="66" spans="1:5">
      <c r="A66" t="s" s="7">
        <v>264</v>
      </c>
      <c r="B66" t="s" s="5">
        <v>265</v>
      </c>
      <c r="C66" t="s" s="5">
        <v>184</v>
      </c>
      <c r="D66" t="s" s="6">
        <v>77</v>
      </c>
      <c r="E66" t="s" s="5">
        <v>341</v>
      </c>
    </row>
    <row r="67" spans="1:5">
      <c r="A67" t="s" s="7">
        <v>264</v>
      </c>
      <c r="B67" t="s" s="5">
        <v>265</v>
      </c>
      <c r="C67" t="s" s="5">
        <v>181</v>
      </c>
      <c r="D67" t="s" s="6">
        <v>77</v>
      </c>
      <c r="E67" t="s" s="5">
        <v>341</v>
      </c>
    </row>
    <row r="68" spans="1:5">
      <c r="A68" t="s" s="7">
        <v>264</v>
      </c>
      <c r="B68" t="s" s="5">
        <v>265</v>
      </c>
      <c r="C68" t="s" s="5">
        <v>83</v>
      </c>
      <c r="D68" t="s" s="6">
        <v>77</v>
      </c>
      <c r="E68" t="s" s="5">
        <v>341</v>
      </c>
    </row>
    <row r="69" spans="1:5">
      <c r="A69" t="s" s="7">
        <v>266</v>
      </c>
      <c r="B69" t="s" s="5">
        <v>265</v>
      </c>
      <c r="C69" t="s" s="5">
        <v>345</v>
      </c>
      <c r="D69" s="5">
        <v>10</v>
      </c>
      <c r="E69" t="s" s="8">
        <v>267</v>
      </c>
    </row>
    <row r="70" spans="1:5">
      <c r="A70" t="s" s="7">
        <v>266</v>
      </c>
      <c r="B70" t="s" s="5">
        <v>265</v>
      </c>
      <c r="C70" t="s" s="5">
        <v>344</v>
      </c>
      <c r="D70" s="5">
        <v>1</v>
      </c>
      <c r="E70" t="s" s="5">
        <v>341</v>
      </c>
    </row>
    <row r="71" spans="1:5">
      <c r="A71" t="s" s="7">
        <v>266</v>
      </c>
      <c r="B71" t="s" s="5">
        <v>265</v>
      </c>
      <c r="C71" t="s" s="5">
        <v>83</v>
      </c>
      <c r="D71" s="5">
        <v>140</v>
      </c>
      <c r="E71" t="s" s="5">
        <v>268</v>
      </c>
    </row>
    <row r="72" spans="1:5">
      <c r="A72" t="s" s="7">
        <v>269</v>
      </c>
      <c r="B72" t="s" s="5">
        <v>265</v>
      </c>
      <c r="C72" t="s" s="5">
        <v>184</v>
      </c>
      <c r="D72" t="s" s="6">
        <v>77</v>
      </c>
      <c r="E72" t="s" s="5">
        <v>341</v>
      </c>
    </row>
    <row r="73" spans="1:5">
      <c r="A73" t="s" s="7">
        <v>269</v>
      </c>
      <c r="B73" t="s" s="5">
        <v>265</v>
      </c>
      <c r="C73" t="s" s="5">
        <v>345</v>
      </c>
      <c r="D73" t="s" s="6">
        <v>77</v>
      </c>
      <c r="E73" t="s" s="5">
        <v>341</v>
      </c>
    </row>
    <row r="74" spans="1:5">
      <c r="A74" t="s" s="7">
        <v>270</v>
      </c>
      <c r="B74" t="s" s="5">
        <v>265</v>
      </c>
      <c r="C74" t="s" s="5">
        <v>345</v>
      </c>
      <c r="D74" t="s" s="6">
        <v>77</v>
      </c>
      <c r="E74" t="s" s="5">
        <v>341</v>
      </c>
    </row>
    <row r="75" spans="1:5">
      <c r="A75" t="s" s="7">
        <v>270</v>
      </c>
      <c r="B75" t="s" s="5">
        <v>265</v>
      </c>
      <c r="C75" t="s" s="5">
        <v>344</v>
      </c>
      <c r="D75" t="s" s="6">
        <v>77</v>
      </c>
      <c r="E75" t="s" s="5">
        <v>341</v>
      </c>
    </row>
    <row r="76" spans="1:5">
      <c r="A76" t="s" s="7">
        <v>271</v>
      </c>
      <c r="B76" t="s" s="5">
        <v>272</v>
      </c>
      <c r="C76" t="s" s="5">
        <v>126</v>
      </c>
      <c r="D76" t="s" s="6">
        <v>77</v>
      </c>
      <c r="E76" t="s" s="5">
        <v>341</v>
      </c>
    </row>
    <row r="77" spans="1:5">
      <c r="A77" t="s" s="7">
        <v>271</v>
      </c>
      <c r="B77" t="s" s="5">
        <v>272</v>
      </c>
      <c r="C77" t="s" s="5">
        <v>130</v>
      </c>
      <c r="D77" t="s" s="6">
        <v>77</v>
      </c>
      <c r="E77" t="s" s="5">
        <v>341</v>
      </c>
    </row>
    <row r="78" spans="1:5">
      <c r="A78" t="s" s="7">
        <v>273</v>
      </c>
      <c r="B78" t="s" s="5">
        <v>272</v>
      </c>
      <c r="C78" t="s" s="5">
        <v>126</v>
      </c>
      <c r="D78" t="s" s="6">
        <v>77</v>
      </c>
      <c r="E78" t="s" s="8">
        <v>274</v>
      </c>
    </row>
    <row r="79" spans="1:5">
      <c r="A79" t="s" s="7">
        <v>273</v>
      </c>
      <c r="B79" t="s" s="5">
        <v>272</v>
      </c>
      <c r="C79" t="s" s="5">
        <v>130</v>
      </c>
      <c r="D79" t="s" s="6">
        <v>77</v>
      </c>
      <c r="E79" t="s" s="5">
        <v>341</v>
      </c>
    </row>
    <row r="80" spans="1:5">
      <c r="A80" t="s" s="7">
        <v>275</v>
      </c>
      <c r="B80" t="s" s="5">
        <v>276</v>
      </c>
      <c r="C80" t="s" s="5">
        <v>109</v>
      </c>
      <c r="D80" s="5">
        <v>1</v>
      </c>
      <c r="E80" t="s" s="5">
        <v>346</v>
      </c>
    </row>
    <row r="81" spans="1:5">
      <c r="A81" t="s" s="7">
        <v>277</v>
      </c>
      <c r="B81" t="s" s="5">
        <v>276</v>
      </c>
      <c r="C81" t="s" s="5">
        <v>179</v>
      </c>
      <c r="D81" s="5">
        <v>30</v>
      </c>
      <c r="E81" t="s" s="5">
        <v>341</v>
      </c>
    </row>
    <row r="82" spans="1:5">
      <c r="A82" t="s" s="7">
        <v>277</v>
      </c>
      <c r="B82" t="s" s="5">
        <v>276</v>
      </c>
      <c r="C82" t="s" s="5">
        <v>102</v>
      </c>
      <c r="D82" s="5">
        <v>2</v>
      </c>
      <c r="E82" t="s" s="5">
        <v>86</v>
      </c>
    </row>
    <row r="83" spans="1:5">
      <c r="A83" t="s" s="7">
        <v>278</v>
      </c>
      <c r="B83" t="s" s="5">
        <v>276</v>
      </c>
      <c r="C83" t="s" s="5">
        <v>175</v>
      </c>
      <c r="D83" s="5">
        <v>50</v>
      </c>
      <c r="E83" t="s" s="5">
        <v>341</v>
      </c>
    </row>
    <row r="84" spans="1:5">
      <c r="A84" t="s" s="7">
        <v>278</v>
      </c>
      <c r="B84" t="s" s="5">
        <v>276</v>
      </c>
      <c r="C84" t="s" s="5">
        <v>119</v>
      </c>
      <c r="D84" s="5">
        <v>2.5</v>
      </c>
      <c r="E84" t="s" s="5">
        <v>279</v>
      </c>
    </row>
    <row r="85" spans="1:5">
      <c r="A85" t="s" s="7">
        <v>278</v>
      </c>
      <c r="B85" t="s" s="5">
        <v>276</v>
      </c>
      <c r="C85" t="s" s="5">
        <v>103</v>
      </c>
      <c r="D85" s="5">
        <v>1</v>
      </c>
      <c r="E85" t="s" s="8">
        <v>280</v>
      </c>
    </row>
    <row r="86" spans="1:5">
      <c r="A86" t="s" s="7">
        <v>281</v>
      </c>
      <c r="B86" t="s" s="5">
        <v>276</v>
      </c>
      <c r="C86" t="s" s="5">
        <v>113</v>
      </c>
      <c r="D86" s="5">
        <v>2</v>
      </c>
      <c r="E86" t="s" s="5">
        <v>282</v>
      </c>
    </row>
    <row r="87" spans="1:5">
      <c r="A87" t="s" s="7">
        <v>281</v>
      </c>
      <c r="B87" t="s" s="5">
        <v>276</v>
      </c>
      <c r="C87" t="s" s="5">
        <v>83</v>
      </c>
      <c r="D87" s="5">
        <v>150</v>
      </c>
      <c r="E87" t="s" s="5">
        <v>341</v>
      </c>
    </row>
    <row r="88" spans="1:5">
      <c r="A88" t="s" s="7">
        <v>281</v>
      </c>
      <c r="B88" t="s" s="5">
        <v>276</v>
      </c>
      <c r="C88" t="s" s="5">
        <v>104</v>
      </c>
      <c r="D88" s="5">
        <v>4</v>
      </c>
      <c r="E88" t="s" s="8">
        <v>283</v>
      </c>
    </row>
    <row r="89" spans="1:5">
      <c r="A89" t="s" s="7">
        <v>284</v>
      </c>
      <c r="B89" t="s" s="5">
        <v>276</v>
      </c>
      <c r="C89" t="s" s="5">
        <v>116</v>
      </c>
      <c r="D89" t="s" s="6">
        <v>77</v>
      </c>
      <c r="E89" t="s" s="5">
        <v>341</v>
      </c>
    </row>
    <row r="90" spans="1:5">
      <c r="A90" t="s" s="7">
        <v>284</v>
      </c>
      <c r="B90" t="s" s="5">
        <v>276</v>
      </c>
      <c r="C90" t="s" s="5">
        <v>102</v>
      </c>
      <c r="D90" t="s" s="6">
        <v>77</v>
      </c>
      <c r="E90" t="s" s="8">
        <v>285</v>
      </c>
    </row>
    <row r="91" spans="1:5">
      <c r="A91" t="s" s="7">
        <v>286</v>
      </c>
      <c r="B91" t="s" s="5">
        <v>276</v>
      </c>
      <c r="C91" t="s" s="5">
        <v>116</v>
      </c>
      <c r="D91" t="s" s="6">
        <v>77</v>
      </c>
      <c r="E91" t="s" s="5">
        <v>341</v>
      </c>
    </row>
    <row r="92" spans="1:5">
      <c r="A92" t="s" s="7">
        <v>286</v>
      </c>
      <c r="B92" t="s" s="5">
        <v>276</v>
      </c>
      <c r="C92" t="s" s="5">
        <v>102</v>
      </c>
      <c r="D92" t="s" s="6">
        <v>77</v>
      </c>
      <c r="E92" t="s" s="5">
        <v>86</v>
      </c>
    </row>
    <row r="93" spans="1:5">
      <c r="A93" t="s" s="7">
        <v>287</v>
      </c>
      <c r="B93" t="s" s="5">
        <v>276</v>
      </c>
      <c r="C93" t="s" s="5">
        <v>116</v>
      </c>
      <c r="D93" t="s" s="6">
        <v>77</v>
      </c>
      <c r="E93" t="s" s="5">
        <v>341</v>
      </c>
    </row>
    <row r="94" spans="1:5">
      <c r="A94" t="s" s="7">
        <v>288</v>
      </c>
      <c r="B94" t="s" s="5">
        <v>276</v>
      </c>
      <c r="C94" t="s" s="5">
        <v>178</v>
      </c>
      <c r="D94" s="5">
        <v>20</v>
      </c>
      <c r="E94" t="s" s="5">
        <v>341</v>
      </c>
    </row>
    <row r="95" spans="1:5">
      <c r="A95" t="s" s="7">
        <v>288</v>
      </c>
      <c r="B95" t="s" s="5">
        <v>276</v>
      </c>
      <c r="C95" t="s" s="5">
        <v>121</v>
      </c>
      <c r="D95" s="5">
        <v>60</v>
      </c>
      <c r="E95" t="s" s="5">
        <v>289</v>
      </c>
    </row>
    <row r="96" spans="1:5">
      <c r="A96" t="s" s="7">
        <v>290</v>
      </c>
      <c r="B96" t="s" s="5">
        <v>276</v>
      </c>
      <c r="C96" t="s" s="5">
        <v>182</v>
      </c>
      <c r="D96" t="s" s="6">
        <v>77</v>
      </c>
      <c r="E96" t="s" s="5">
        <v>341</v>
      </c>
    </row>
    <row r="97" spans="1:5">
      <c r="A97" t="s" s="7">
        <v>291</v>
      </c>
      <c r="B97" t="s" s="5">
        <v>276</v>
      </c>
      <c r="C97" t="s" s="5">
        <v>111</v>
      </c>
      <c r="D97" s="5">
        <v>1</v>
      </c>
      <c r="E97" t="s" s="5">
        <v>346</v>
      </c>
    </row>
    <row r="98" spans="1:5">
      <c r="A98" t="s" s="7">
        <v>292</v>
      </c>
      <c r="B98" t="s" s="5">
        <v>276</v>
      </c>
      <c r="C98" t="s" s="5">
        <v>106</v>
      </c>
      <c r="D98" s="5">
        <v>1</v>
      </c>
      <c r="E98" t="s" s="5">
        <v>346</v>
      </c>
    </row>
    <row r="99" spans="1:5">
      <c r="A99" t="s" s="7">
        <v>293</v>
      </c>
      <c r="B99" t="s" s="5">
        <v>276</v>
      </c>
      <c r="C99" t="s" s="5">
        <v>110</v>
      </c>
      <c r="D99" s="5">
        <v>1</v>
      </c>
      <c r="E99" t="s" s="5">
        <v>346</v>
      </c>
    </row>
    <row r="100" spans="1:5">
      <c r="A100" t="s" s="7">
        <v>294</v>
      </c>
      <c r="B100" t="s" s="5">
        <v>265</v>
      </c>
      <c r="C100" t="s" s="5">
        <v>345</v>
      </c>
      <c r="D100" t="s" s="6">
        <v>77</v>
      </c>
      <c r="E100" t="s" s="8">
        <v>295</v>
      </c>
    </row>
    <row r="101" spans="1:5">
      <c r="A101" t="s" s="7">
        <v>294</v>
      </c>
      <c r="B101" t="s" s="5">
        <v>265</v>
      </c>
      <c r="C101" t="s" s="5">
        <v>83</v>
      </c>
      <c r="D101" t="s" s="6">
        <v>77</v>
      </c>
      <c r="E101" t="s" s="5">
        <v>341</v>
      </c>
    </row>
    <row r="102" spans="1:5">
      <c r="A102" t="s" s="7">
        <v>296</v>
      </c>
      <c r="B102" t="s" s="5">
        <v>332</v>
      </c>
      <c r="C102" t="s" s="5">
        <v>191</v>
      </c>
      <c r="D102" s="5">
        <v>1</v>
      </c>
      <c r="E102" t="s" s="8">
        <v>297</v>
      </c>
    </row>
    <row r="103" spans="1:5">
      <c r="A103" t="s" s="7">
        <v>298</v>
      </c>
      <c r="B103" t="s" s="5">
        <v>332</v>
      </c>
      <c r="C103" t="s" s="5">
        <v>191</v>
      </c>
      <c r="D103" s="5">
        <v>1</v>
      </c>
      <c r="E103" t="s" s="8">
        <v>232</v>
      </c>
    </row>
    <row r="104" spans="1:5">
      <c r="A104" t="s" s="7">
        <v>154</v>
      </c>
      <c r="B104" t="s" s="5">
        <v>224</v>
      </c>
      <c r="C104" t="s" s="5">
        <v>154</v>
      </c>
      <c r="D104" s="5">
        <v>1</v>
      </c>
      <c r="E104" t="s" s="5">
        <v>299</v>
      </c>
    </row>
    <row r="105" spans="1:5">
      <c r="A105" t="s" s="7">
        <v>156</v>
      </c>
      <c r="B105" t="s" s="5">
        <v>224</v>
      </c>
      <c r="C105" t="s" s="5">
        <v>156</v>
      </c>
      <c r="D105" s="5">
        <v>1</v>
      </c>
      <c r="E105" t="s" s="5">
        <v>346</v>
      </c>
    </row>
    <row r="106" spans="1:5">
      <c r="A106" t="s" s="7">
        <v>157</v>
      </c>
      <c r="B106" t="s" s="5">
        <v>224</v>
      </c>
      <c r="C106" t="s" s="5">
        <v>157</v>
      </c>
      <c r="D106" s="5">
        <v>1</v>
      </c>
      <c r="E106" t="s" s="5">
        <v>346</v>
      </c>
    </row>
    <row r="107" spans="1:5">
      <c r="A107" t="s" s="7">
        <v>300</v>
      </c>
      <c r="B107" t="s" s="5">
        <v>224</v>
      </c>
      <c r="C107" t="s" s="5">
        <v>85</v>
      </c>
      <c r="D107" s="5">
        <v>30</v>
      </c>
      <c r="E107" t="s" s="5">
        <v>341</v>
      </c>
    </row>
    <row r="108" spans="1:5">
      <c r="A108" t="s" s="7">
        <v>300</v>
      </c>
      <c r="B108" t="s" s="5">
        <v>224</v>
      </c>
      <c r="C108" t="s" s="5">
        <v>83</v>
      </c>
      <c r="D108" s="5">
        <v>250</v>
      </c>
      <c r="E108" t="s" s="8">
        <v>301</v>
      </c>
    </row>
    <row r="109" spans="1:5">
      <c r="A109" t="s" s="7">
        <v>302</v>
      </c>
      <c r="B109" t="s" s="5">
        <v>265</v>
      </c>
      <c r="C109" t="s" s="5">
        <v>345</v>
      </c>
      <c r="D109" t="s" s="6">
        <v>77</v>
      </c>
      <c r="E109" t="s" s="8">
        <v>303</v>
      </c>
    </row>
    <row r="110" spans="1:5">
      <c r="A110" t="s" s="7">
        <v>302</v>
      </c>
      <c r="B110" t="s" s="5">
        <v>265</v>
      </c>
      <c r="C110" t="s" s="5">
        <v>344</v>
      </c>
      <c r="D110" t="s" s="6">
        <v>77</v>
      </c>
      <c r="E110" t="s" s="5">
        <v>341</v>
      </c>
    </row>
    <row r="111" spans="1:5">
      <c r="A111" t="s" s="7">
        <v>304</v>
      </c>
      <c r="B111" t="s" s="5">
        <v>229</v>
      </c>
      <c r="C111" t="s" s="5">
        <v>73</v>
      </c>
      <c r="D111" s="5">
        <v>18</v>
      </c>
      <c r="E111" t="s" s="5">
        <v>341</v>
      </c>
    </row>
    <row r="112" spans="1:5">
      <c r="A112" t="s" s="7">
        <v>304</v>
      </c>
      <c r="B112" t="s" s="5">
        <v>229</v>
      </c>
      <c r="C112" t="s" s="5">
        <v>85</v>
      </c>
      <c r="D112" s="5">
        <v>0.5</v>
      </c>
      <c r="E112" t="s" s="5">
        <v>86</v>
      </c>
    </row>
    <row r="113" spans="1:5">
      <c r="A113" t="s" s="7">
        <v>304</v>
      </c>
      <c r="B113" t="s" s="5">
        <v>229</v>
      </c>
      <c r="C113" t="s" s="5">
        <v>351</v>
      </c>
      <c r="D113" t="s" s="6">
        <v>77</v>
      </c>
      <c r="E113" t="s" s="5">
        <v>360</v>
      </c>
    </row>
    <row r="114" spans="1:5">
      <c r="A114" t="s" s="7">
        <v>304</v>
      </c>
      <c r="B114" t="s" s="5">
        <v>229</v>
      </c>
      <c r="C114" t="s" s="5">
        <v>92</v>
      </c>
      <c r="D114" s="5">
        <v>1</v>
      </c>
      <c r="E114" t="s" s="5">
        <v>90</v>
      </c>
    </row>
    <row r="115" spans="1:5">
      <c r="A115" t="s" s="7">
        <v>305</v>
      </c>
      <c r="B115" t="s" s="5">
        <v>276</v>
      </c>
      <c r="C115" t="s" s="5">
        <v>170</v>
      </c>
      <c r="D115" s="5">
        <v>60</v>
      </c>
      <c r="E115" t="s" s="5">
        <v>341</v>
      </c>
    </row>
    <row r="116" spans="1:5">
      <c r="A116" t="s" s="7">
        <v>306</v>
      </c>
      <c r="B116" t="s" s="5">
        <v>243</v>
      </c>
      <c r="C116" t="s" s="5">
        <v>197</v>
      </c>
      <c r="D116" s="5">
        <v>1</v>
      </c>
      <c r="E116" t="s" s="5">
        <v>346</v>
      </c>
    </row>
    <row r="117" spans="1:5">
      <c r="A117" t="s" s="7">
        <v>306</v>
      </c>
      <c r="B117" t="s" s="5">
        <v>243</v>
      </c>
      <c r="C117" t="s" s="5">
        <v>136</v>
      </c>
      <c r="D117" s="5">
        <v>6.5</v>
      </c>
      <c r="E117" t="s" s="5">
        <v>346</v>
      </c>
    </row>
    <row r="118" spans="1:5">
      <c r="A118" t="s" s="7">
        <v>306</v>
      </c>
      <c r="B118" t="s" s="5">
        <v>243</v>
      </c>
      <c r="C118" t="s" s="5">
        <v>132</v>
      </c>
      <c r="D118" s="5">
        <v>50</v>
      </c>
      <c r="E118" t="s" s="5">
        <v>341</v>
      </c>
    </row>
    <row r="119" spans="1:5">
      <c r="A119" t="s" s="7">
        <v>306</v>
      </c>
      <c r="B119" t="s" s="5">
        <v>243</v>
      </c>
      <c r="C119" t="s" s="5">
        <v>133</v>
      </c>
      <c r="D119" s="5">
        <v>3</v>
      </c>
      <c r="E119" t="s" s="5">
        <v>134</v>
      </c>
    </row>
    <row r="120" spans="1:5">
      <c r="A120" t="s" s="7">
        <v>307</v>
      </c>
      <c r="B120" t="s" s="5">
        <v>243</v>
      </c>
      <c r="C120" t="s" s="5">
        <v>197</v>
      </c>
      <c r="D120" s="5">
        <v>1</v>
      </c>
      <c r="E120" t="s" s="5">
        <v>346</v>
      </c>
    </row>
    <row r="121" spans="1:5">
      <c r="A121" t="s" s="7">
        <v>307</v>
      </c>
      <c r="B121" t="s" s="5">
        <v>243</v>
      </c>
      <c r="C121" t="s" s="5">
        <v>137</v>
      </c>
      <c r="D121" s="5">
        <v>1</v>
      </c>
      <c r="E121" t="s" s="5">
        <v>308</v>
      </c>
    </row>
    <row r="122" spans="1:5">
      <c r="A122" t="s" s="7">
        <v>307</v>
      </c>
      <c r="B122" t="s" s="5">
        <v>243</v>
      </c>
      <c r="C122" t="s" s="5">
        <v>132</v>
      </c>
      <c r="D122" t="s" s="6">
        <v>77</v>
      </c>
      <c r="E122" t="s" s="8">
        <v>309</v>
      </c>
    </row>
    <row r="123" spans="1:5">
      <c r="A123" t="s" s="7">
        <v>307</v>
      </c>
      <c r="B123" t="s" s="5">
        <v>243</v>
      </c>
      <c r="C123" t="s" s="5">
        <v>139</v>
      </c>
      <c r="D123" s="5">
        <v>6.5</v>
      </c>
      <c r="E123" t="s" s="5">
        <v>346</v>
      </c>
    </row>
    <row r="124" spans="1:5">
      <c r="A124" t="s" s="7">
        <v>307</v>
      </c>
      <c r="B124" t="s" s="5">
        <v>243</v>
      </c>
      <c r="C124" t="s" s="5">
        <v>140</v>
      </c>
      <c r="D124" s="5">
        <v>1</v>
      </c>
      <c r="E124" t="s" s="5">
        <v>86</v>
      </c>
    </row>
    <row r="125" spans="1:5">
      <c r="A125" t="s" s="7">
        <v>307</v>
      </c>
      <c r="B125" t="s" s="5">
        <v>243</v>
      </c>
      <c r="C125" t="s" s="5">
        <v>141</v>
      </c>
      <c r="D125" t="s" s="6">
        <v>77</v>
      </c>
      <c r="E125" t="s" s="5">
        <v>341</v>
      </c>
    </row>
    <row r="126" spans="1:5">
      <c r="A126" t="s" s="7">
        <v>310</v>
      </c>
      <c r="B126" t="s" s="5">
        <v>229</v>
      </c>
      <c r="C126" t="s" s="5">
        <v>73</v>
      </c>
      <c r="D126" s="5">
        <v>18</v>
      </c>
      <c r="E126" t="s" s="5">
        <v>341</v>
      </c>
    </row>
    <row r="127" spans="1:5">
      <c r="A127" t="s" s="7">
        <v>310</v>
      </c>
      <c r="B127" t="s" s="5">
        <v>229</v>
      </c>
      <c r="C127" t="s" s="5">
        <v>83</v>
      </c>
      <c r="D127" s="5">
        <v>250</v>
      </c>
      <c r="E127" t="s" s="5">
        <v>341</v>
      </c>
    </row>
    <row r="128" spans="1:5">
      <c r="A128" t="s" s="7">
        <v>310</v>
      </c>
      <c r="B128" t="s" s="5">
        <v>229</v>
      </c>
      <c r="C128" t="s" s="5">
        <v>85</v>
      </c>
      <c r="D128" s="5">
        <v>2.5</v>
      </c>
      <c r="E128" t="s" s="5">
        <v>86</v>
      </c>
    </row>
    <row r="129" spans="1:5">
      <c r="A129" t="s" s="7">
        <v>310</v>
      </c>
      <c r="B129" t="s" s="5">
        <v>229</v>
      </c>
      <c r="C129" t="s" s="5">
        <v>89</v>
      </c>
      <c r="D129" s="5">
        <v>1</v>
      </c>
      <c r="E129" t="s" s="5">
        <v>90</v>
      </c>
    </row>
    <row r="130" spans="1:5">
      <c r="A130" t="s" s="7">
        <v>311</v>
      </c>
      <c r="B130" t="s" s="5">
        <v>229</v>
      </c>
      <c r="C130" t="s" s="5">
        <v>73</v>
      </c>
      <c r="D130" s="5">
        <v>18</v>
      </c>
      <c r="E130" t="s" s="5">
        <v>312</v>
      </c>
    </row>
    <row r="131" spans="1:5">
      <c r="A131" t="s" s="7">
        <v>311</v>
      </c>
      <c r="B131" t="s" s="5">
        <v>229</v>
      </c>
      <c r="C131" t="s" s="5">
        <v>83</v>
      </c>
      <c r="D131" s="5">
        <v>210</v>
      </c>
      <c r="E131" t="s" s="5">
        <v>341</v>
      </c>
    </row>
    <row r="132" spans="1:5">
      <c r="A132" t="s" s="7">
        <v>313</v>
      </c>
      <c r="B132" t="s" s="5">
        <v>276</v>
      </c>
      <c r="C132" t="s" s="5">
        <v>177</v>
      </c>
      <c r="D132" s="5">
        <v>60</v>
      </c>
      <c r="E132" t="s" s="5">
        <v>341</v>
      </c>
    </row>
    <row r="133" spans="1:5">
      <c r="A133" t="s" s="7">
        <v>313</v>
      </c>
      <c r="B133" t="s" s="5">
        <v>276</v>
      </c>
      <c r="C133" t="s" s="5">
        <v>104</v>
      </c>
      <c r="D133" s="5">
        <v>1.5</v>
      </c>
      <c r="E133" t="s" s="5">
        <v>86</v>
      </c>
    </row>
    <row r="134" spans="1:5">
      <c r="A134" t="s" s="7">
        <v>313</v>
      </c>
      <c r="B134" t="s" s="5">
        <v>276</v>
      </c>
      <c r="C134" t="s" s="5">
        <v>105</v>
      </c>
      <c r="D134" s="5">
        <v>0.5</v>
      </c>
      <c r="E134" t="s" s="5">
        <v>86</v>
      </c>
    </row>
    <row r="135" spans="1:5">
      <c r="A135" t="s" s="7">
        <v>314</v>
      </c>
      <c r="B135" t="s" s="5">
        <v>243</v>
      </c>
      <c r="C135" t="s" s="5">
        <v>197</v>
      </c>
      <c r="D135" s="5">
        <v>1</v>
      </c>
      <c r="E135" t="s" s="5">
        <v>346</v>
      </c>
    </row>
    <row r="136" spans="1:5">
      <c r="A136" t="s" s="7">
        <v>314</v>
      </c>
      <c r="B136" t="s" s="5">
        <v>243</v>
      </c>
      <c r="C136" t="s" s="5">
        <v>142</v>
      </c>
      <c r="D136" t="s" s="6">
        <v>77</v>
      </c>
      <c r="E136" t="s" s="5">
        <v>341</v>
      </c>
    </row>
    <row r="137" spans="1:5">
      <c r="A137" t="s" s="7">
        <v>314</v>
      </c>
      <c r="B137" t="s" s="5">
        <v>243</v>
      </c>
      <c r="C137" t="s" s="5">
        <v>73</v>
      </c>
      <c r="D137" s="5">
        <v>18</v>
      </c>
      <c r="E137" t="s" s="5">
        <v>253</v>
      </c>
    </row>
    <row r="138" spans="1:5">
      <c r="A138" t="s" s="7">
        <v>315</v>
      </c>
      <c r="B138" t="s" s="5">
        <v>332</v>
      </c>
      <c r="C138" t="s" s="5">
        <v>80</v>
      </c>
      <c r="D138" t="s" s="6">
        <v>77</v>
      </c>
      <c r="E138" t="s" s="5">
        <v>341</v>
      </c>
    </row>
    <row r="139" spans="1:5">
      <c r="A139" t="s" s="7">
        <v>316</v>
      </c>
      <c r="B139" t="s" s="5">
        <v>229</v>
      </c>
      <c r="C139" t="s" s="5">
        <v>73</v>
      </c>
      <c r="D139" s="5">
        <v>18</v>
      </c>
      <c r="E139" t="s" s="5">
        <v>341</v>
      </c>
    </row>
    <row r="140" spans="1:5">
      <c r="A140" t="s" s="7">
        <v>316</v>
      </c>
      <c r="B140" t="s" s="5">
        <v>229</v>
      </c>
      <c r="C140" t="s" s="5">
        <v>186</v>
      </c>
      <c r="D140" s="5">
        <v>80</v>
      </c>
      <c r="E140" t="s" s="5">
        <v>317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workbookViewId="0">
      <pane ySplit="1" topLeftCell="A2" activePane="bottomLeft" state="frozen"/>
      <selection pane="bottomLeft"/>
    </sheetView>
  </sheetViews>
  <sheetFormatPr defaultRowHeight="17.399999999999999"/>
  <cols>
    <col min="1" max="1" width="21" customWidth="1"/>
    <col min="2" max="2" width="16" customWidth="1"/>
    <col min="3" max="3" width="8" customWidth="1"/>
    <col min="4" max="4" width="15" customWidth="1"/>
    <col min="5" max="5" width="10" customWidth="1"/>
    <col min="6" max="6" width="38" customWidth="1"/>
  </cols>
  <sheetData>
    <row r="1" spans="1:6">
      <c r="A1" t="s" s="3">
        <v>318</v>
      </c>
      <c r="B1" t="s" s="3">
        <v>216</v>
      </c>
      <c r="C1" t="s" s="3">
        <v>319</v>
      </c>
      <c r="D1" t="s" s="3">
        <v>63</v>
      </c>
      <c r="E1" t="s" s="3">
        <v>205</v>
      </c>
      <c r="F1" t="s" s="3">
        <v>72</v>
      </c>
    </row>
    <row r="2" spans="1:6">
      <c r="A2" t="s" s="7">
        <v>320</v>
      </c>
      <c r="B2" t="s" s="5">
        <v>229</v>
      </c>
      <c r="C2" t="s" s="5">
        <v>321</v>
      </c>
      <c r="D2" t="s" s="5">
        <v>158</v>
      </c>
      <c r="E2" s="5">
        <v>1</v>
      </c>
      <c r="F2" s="5"/>
    </row>
    <row r="3" spans="1:6">
      <c r="A3" t="s" s="7">
        <v>320</v>
      </c>
      <c r="B3" t="s" s="5">
        <v>229</v>
      </c>
      <c r="C3" t="s" s="5">
        <v>321</v>
      </c>
      <c r="D3" t="s" s="5">
        <v>162</v>
      </c>
      <c r="E3" s="5">
        <v>1</v>
      </c>
      <c r="F3" s="5"/>
    </row>
    <row r="4" spans="1:6">
      <c r="A4" t="s" s="7">
        <v>320</v>
      </c>
      <c r="B4" t="s" s="5">
        <v>229</v>
      </c>
      <c r="C4" t="s" s="5">
        <v>321</v>
      </c>
      <c r="D4" t="s" s="5">
        <v>164</v>
      </c>
      <c r="E4" s="5">
        <v>1</v>
      </c>
      <c r="F4" s="5"/>
    </row>
    <row r="5" spans="1:6">
      <c r="A5" t="s" s="7">
        <v>322</v>
      </c>
      <c r="B5" t="s" s="5">
        <v>229</v>
      </c>
      <c r="C5" t="s" s="5">
        <v>323</v>
      </c>
      <c r="D5" t="s" s="5">
        <v>159</v>
      </c>
      <c r="E5" s="5">
        <v>1</v>
      </c>
      <c r="F5" s="5"/>
    </row>
    <row r="6" spans="1:6">
      <c r="A6" t="s" s="7">
        <v>322</v>
      </c>
      <c r="B6" t="s" s="5">
        <v>229</v>
      </c>
      <c r="C6" t="s" s="5">
        <v>323</v>
      </c>
      <c r="D6" t="s" s="5">
        <v>163</v>
      </c>
      <c r="E6" s="5">
        <v>1</v>
      </c>
      <c r="F6" s="5"/>
    </row>
    <row r="7" spans="1:6">
      <c r="A7" t="s" s="7">
        <v>322</v>
      </c>
      <c r="B7" t="s" s="5">
        <v>229</v>
      </c>
      <c r="C7" t="s" s="5">
        <v>323</v>
      </c>
      <c r="D7" t="s" s="5">
        <v>164</v>
      </c>
      <c r="E7" s="5">
        <v>1</v>
      </c>
      <c r="F7" s="5"/>
    </row>
    <row r="8" spans="1:6">
      <c r="A8" t="s" s="7">
        <v>324</v>
      </c>
      <c r="B8" t="s" s="5">
        <v>265</v>
      </c>
      <c r="C8" t="s" s="5">
        <v>321</v>
      </c>
      <c r="D8" t="s" s="5">
        <v>158</v>
      </c>
      <c r="E8" s="5">
        <v>1</v>
      </c>
      <c r="F8" s="5"/>
    </row>
    <row r="9" spans="1:6">
      <c r="A9" t="s" s="7">
        <v>324</v>
      </c>
      <c r="B9" t="s" s="5">
        <v>265</v>
      </c>
      <c r="C9" t="s" s="5">
        <v>321</v>
      </c>
      <c r="D9" t="s" s="5">
        <v>162</v>
      </c>
      <c r="E9" s="5">
        <v>1</v>
      </c>
      <c r="F9" s="5"/>
    </row>
    <row r="10" spans="1:6">
      <c r="A10" t="s" s="7">
        <v>324</v>
      </c>
      <c r="B10" t="s" s="5">
        <v>265</v>
      </c>
      <c r="C10" t="s" s="5">
        <v>321</v>
      </c>
      <c r="D10" t="s" s="5">
        <v>164</v>
      </c>
      <c r="E10" s="5">
        <v>1</v>
      </c>
      <c r="F10" s="5"/>
    </row>
    <row r="11" spans="1:6">
      <c r="A11" t="s" s="7">
        <v>325</v>
      </c>
      <c r="B11" t="s" s="5">
        <v>265</v>
      </c>
      <c r="C11" t="s" s="5">
        <v>323</v>
      </c>
      <c r="D11" t="s" s="5">
        <v>159</v>
      </c>
      <c r="E11" s="5">
        <v>1</v>
      </c>
      <c r="F11" s="5"/>
    </row>
    <row r="12" spans="1:6">
      <c r="A12" t="s" s="7">
        <v>325</v>
      </c>
      <c r="B12" t="s" s="5">
        <v>265</v>
      </c>
      <c r="C12" t="s" s="5">
        <v>323</v>
      </c>
      <c r="D12" t="s" s="5">
        <v>163</v>
      </c>
      <c r="E12" s="5">
        <v>1</v>
      </c>
      <c r="F12" s="5"/>
    </row>
    <row r="13" spans="1:6">
      <c r="A13" t="s" s="7">
        <v>325</v>
      </c>
      <c r="B13" t="s" s="5">
        <v>265</v>
      </c>
      <c r="C13" t="s" s="5">
        <v>323</v>
      </c>
      <c r="D13" t="s" s="5">
        <v>164</v>
      </c>
      <c r="E13" s="5">
        <v>1</v>
      </c>
      <c r="F13" s="5"/>
    </row>
    <row r="14" spans="1:6">
      <c r="A14" t="s" s="7">
        <v>326</v>
      </c>
      <c r="B14" t="s" s="5">
        <v>276</v>
      </c>
      <c r="C14" t="s" s="5">
        <v>321</v>
      </c>
      <c r="D14" t="s" s="5">
        <v>158</v>
      </c>
      <c r="E14" s="5">
        <v>1</v>
      </c>
      <c r="F14" s="5"/>
    </row>
    <row r="15" spans="1:6">
      <c r="A15" t="s" s="7">
        <v>326</v>
      </c>
      <c r="B15" t="s" s="5">
        <v>276</v>
      </c>
      <c r="C15" t="s" s="5">
        <v>321</v>
      </c>
      <c r="D15" t="s" s="5">
        <v>162</v>
      </c>
      <c r="E15" s="5">
        <v>1</v>
      </c>
      <c r="F15" s="5"/>
    </row>
    <row r="16" spans="1:6">
      <c r="A16" t="s" s="7">
        <v>326</v>
      </c>
      <c r="B16" t="s" s="5">
        <v>276</v>
      </c>
      <c r="C16" t="s" s="5">
        <v>321</v>
      </c>
      <c r="D16" t="s" s="5">
        <v>164</v>
      </c>
      <c r="E16" s="5">
        <v>1</v>
      </c>
      <c r="F16" s="5"/>
    </row>
    <row r="17" spans="1:6">
      <c r="A17" t="s" s="7">
        <v>327</v>
      </c>
      <c r="B17" t="s" s="5">
        <v>276</v>
      </c>
      <c r="C17" t="s" s="5">
        <v>323</v>
      </c>
      <c r="D17" t="s" s="5">
        <v>159</v>
      </c>
      <c r="E17" s="5">
        <v>1</v>
      </c>
      <c r="F17" s="5"/>
    </row>
    <row r="18" spans="1:6">
      <c r="A18" t="s" s="7">
        <v>327</v>
      </c>
      <c r="B18" t="s" s="5">
        <v>276</v>
      </c>
      <c r="C18" t="s" s="5">
        <v>323</v>
      </c>
      <c r="D18" t="s" s="5">
        <v>163</v>
      </c>
      <c r="E18" s="5">
        <v>1</v>
      </c>
      <c r="F18" s="5"/>
    </row>
    <row r="19" spans="1:6">
      <c r="A19" t="s" s="7">
        <v>327</v>
      </c>
      <c r="B19" t="s" s="5">
        <v>276</v>
      </c>
      <c r="C19" t="s" s="5">
        <v>323</v>
      </c>
      <c r="D19" t="s" s="5">
        <v>164</v>
      </c>
      <c r="E19" s="5">
        <v>1</v>
      </c>
      <c r="F19" s="5"/>
    </row>
    <row r="20" spans="1:6">
      <c r="A20" t="s" s="7">
        <v>328</v>
      </c>
      <c r="B20" t="s" s="5">
        <v>219</v>
      </c>
      <c r="C20" t="s" s="5">
        <v>323</v>
      </c>
      <c r="D20" t="s" s="5">
        <v>159</v>
      </c>
      <c r="E20" s="5">
        <v>1</v>
      </c>
      <c r="F20" s="5"/>
    </row>
    <row r="21" spans="1:6">
      <c r="A21" t="s" s="7">
        <v>328</v>
      </c>
      <c r="B21" t="s" s="5">
        <v>219</v>
      </c>
      <c r="C21" t="s" s="5">
        <v>323</v>
      </c>
      <c r="D21" t="s" s="5">
        <v>163</v>
      </c>
      <c r="E21" s="5">
        <v>1</v>
      </c>
      <c r="F21" s="5"/>
    </row>
    <row r="22" spans="1:6">
      <c r="A22" t="s" s="7">
        <v>328</v>
      </c>
      <c r="B22" t="s" s="5">
        <v>219</v>
      </c>
      <c r="C22" t="s" s="5">
        <v>323</v>
      </c>
      <c r="D22" t="s" s="5">
        <v>164</v>
      </c>
      <c r="E22" s="5">
        <v>1</v>
      </c>
      <c r="F22" s="5"/>
    </row>
    <row r="23" spans="1:6">
      <c r="A23" t="s" s="7">
        <v>329</v>
      </c>
      <c r="B23" t="s" s="5">
        <v>224</v>
      </c>
      <c r="C23" t="s" s="5">
        <v>323</v>
      </c>
      <c r="D23" t="s" s="5">
        <v>165</v>
      </c>
      <c r="E23" s="5">
        <v>1</v>
      </c>
      <c r="F23" t="s" s="8">
        <v>330</v>
      </c>
    </row>
    <row r="24" spans="1:6">
      <c r="A24" t="s" s="7">
        <v>331</v>
      </c>
      <c r="B24" t="s" s="5">
        <v>332</v>
      </c>
      <c r="C24" t="s" s="5">
        <v>321</v>
      </c>
      <c r="D24" t="s" s="6">
        <v>77</v>
      </c>
      <c r="E24" t="s" s="6">
        <v>77</v>
      </c>
      <c r="F24" t="s" s="8">
        <v>333</v>
      </c>
    </row>
    <row r="25" spans="1:6">
      <c r="A25" t="s" s="7">
        <v>334</v>
      </c>
      <c r="B25" t="s" s="5">
        <v>332</v>
      </c>
      <c r="C25" t="s" s="5">
        <v>323</v>
      </c>
      <c r="D25" t="s" s="6">
        <v>77</v>
      </c>
      <c r="E25" t="s" s="6">
        <v>77</v>
      </c>
      <c r="F25" t="s" s="6">
        <v>77</v>
      </c>
    </row>
    <row r="26" spans="1:6">
      <c r="A26" t="s" s="7">
        <v>335</v>
      </c>
      <c r="B26" t="s" s="5">
        <v>261</v>
      </c>
      <c r="C26" t="s" s="5">
        <v>323</v>
      </c>
      <c r="D26" t="s" s="6">
        <v>77</v>
      </c>
      <c r="E26" t="s" s="6">
        <v>77</v>
      </c>
      <c r="F26" t="s" s="8">
        <v>336</v>
      </c>
    </row>
    <row r="27" spans="1:6">
      <c r="A27" t="s" s="7">
        <v>337</v>
      </c>
      <c r="B27" t="s" s="5">
        <v>272</v>
      </c>
      <c r="C27" s="5"/>
      <c r="D27" t="s" s="6">
        <v>77</v>
      </c>
      <c r="E27" t="s" s="6">
        <v>77</v>
      </c>
      <c r="F27" t="s" s="8">
        <v>338</v>
      </c>
    </row>
    <row r="28" spans="1:6">
      <c r="A28" t="s" s="7">
        <v>339</v>
      </c>
      <c r="B28" t="s" s="5">
        <v>243</v>
      </c>
      <c r="C28" s="5"/>
      <c r="D28" t="s" s="5">
        <v>169</v>
      </c>
      <c r="E28" s="5">
        <v>1</v>
      </c>
      <c r="F28" t="s" s="8">
        <v>340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재료</vt:lpstr>
      <vt:lpstr>서브레시피</vt:lpstr>
      <vt:lpstr>레시피</vt:lpstr>
      <vt:lpstr>포장세트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최진영</cp:lastModifiedBy>
  <dcterms:created xsi:type="dcterms:W3CDTF">2026-04-29T02:38:31Z</dcterms:created>
  <dcterms:modified xsi:type="dcterms:W3CDTF">2026-04-29T15:43:44Z</dcterms:modified>
</cp:coreProperties>
</file>