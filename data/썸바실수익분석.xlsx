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1BC1187-5811-4E2C-AAF4-656B1B96F692}" xr6:coauthVersionLast="47" xr6:coauthVersionMax="47" xr10:uidLastSave="{00000000-0000-0000-0000-000000000000}"/>
  <bookViews>
    <workbookView xWindow="28680" yWindow="-120" windowWidth="29040" windowHeight="15720" xr2:uid="{E5B8E4EF-5E08-412A-84B7-9FA6C09AC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H7" i="1" s="1"/>
  <c r="E6" i="1"/>
  <c r="H6" i="1" s="1"/>
  <c r="J6" i="1" s="1"/>
  <c r="E5" i="1"/>
  <c r="H5" i="1" s="1"/>
  <c r="J5" i="1" s="1"/>
  <c r="E4" i="1"/>
  <c r="H4" i="1" s="1"/>
  <c r="J4" i="1" s="1"/>
  <c r="E26" i="1"/>
  <c r="D26" i="1"/>
  <c r="C26" i="1"/>
  <c r="B26" i="1"/>
</calcChain>
</file>

<file path=xl/sharedStrings.xml><?xml version="1.0" encoding="utf-8"?>
<sst xmlns="http://schemas.openxmlformats.org/spreadsheetml/2006/main" count="30" uniqueCount="25">
  <si>
    <t>원두</t>
    <phoneticPr fontId="2" type="noConversion"/>
  </si>
  <si>
    <t>우유</t>
    <phoneticPr fontId="2" type="noConversion"/>
  </si>
  <si>
    <t>카드대금</t>
    <phoneticPr fontId="2" type="noConversion"/>
  </si>
  <si>
    <t>전기세</t>
    <phoneticPr fontId="2" type="noConversion"/>
  </si>
  <si>
    <t>인건비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</si>
  <si>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</si>
  <si>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</si>
  <si>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</si>
  <si>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</si>
  <si>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유한솔</t>
    <phoneticPr fontId="2" type="noConversion"/>
  </si>
  <si>
    <t>손재원</t>
    <phoneticPr fontId="2" type="noConversion"/>
  </si>
  <si>
    <t>김기태</t>
    <phoneticPr fontId="2" type="noConversion"/>
  </si>
  <si>
    <t>천문규</t>
    <phoneticPr fontId="2" type="noConversion"/>
  </si>
  <si>
    <t>박진석</t>
    <phoneticPr fontId="2" type="noConversion"/>
  </si>
  <si>
    <t>박예나</t>
    <phoneticPr fontId="2" type="noConversion"/>
  </si>
  <si>
    <t>이주원</t>
    <phoneticPr fontId="2" type="noConversion"/>
  </si>
  <si>
    <t>김하진</t>
    <phoneticPr fontId="2" type="noConversion"/>
  </si>
  <si>
    <t>서윤영</t>
    <phoneticPr fontId="2" type="noConversion"/>
  </si>
  <si>
    <t>리아</t>
    <phoneticPr fontId="2" type="noConversion"/>
  </si>
  <si>
    <t>합계</t>
    <phoneticPr fontId="2" type="noConversion"/>
  </si>
  <si>
    <t>지출</t>
    <phoneticPr fontId="2" type="noConversion"/>
  </si>
  <si>
    <t>수익</t>
    <phoneticPr fontId="2" type="noConversion"/>
  </si>
  <si>
    <t>4월 말 카드 대금 확인 후 계산</t>
    <phoneticPr fontId="2" type="noConversion"/>
  </si>
  <si>
    <t>판매수입</t>
    <phoneticPr fontId="2" type="noConversion"/>
  </si>
  <si>
    <t>말차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</si>
</sst>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right" vertical="center"/>
    </xf>
    <xf numFmtId="41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vertical="center"/>
    </xf>
    <xf numFmtId="0" fontId="0" fillId="0" borderId="0" xfId="0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D957-DF59-40FE-9C18-5650325DAA69}">
  <dimension ref="A3:J26"/>
  <sheetViews>
    <sheetView tabSelected="1" workbookViewId="0">
      <selection activeCell="F4" sqref="F4"/>
    </sheetView>
  </sheetViews>
  <sheetFormatPr defaultRowHeight="16.5" x14ac:dyDescent="0.3"/>
  <cols>
    <col min="1" max="1" width="7.125" style="1" customWidth="1"/>
    <col min="2" max="2" width="10.875" bestFit="1" customWidth="1"/>
    <col min="3" max="3" width="11.25" customWidth="1"/>
    <col min="4" max="4" width="11.625" customWidth="1"/>
    <col min="5" max="5" width="10.875" bestFit="1" customWidth="1"/>
    <col min="6" max="6" width="10.875" customWidth="1"/>
    <col min="7" max="7" width="10.875" bestFit="1" customWidth="1"/>
    <col min="8" max="8" width="11.875" style="2" bestFit="1" customWidth="1"/>
    <col min="9" max="9" width="11.875" bestFit="1" customWidth="1"/>
    <col min="10" max="14" width="10.875" bestFit="1" customWidth="1"/>
  </cols>
  <sheetData>
    <row r="3" spans="1:10" s="1" customFormat="1" x14ac:dyDescent="0.3">
      <c r="B3" s="1" t="s">
        <v>0</v>
      </c>
      <c r="C3" s="1" t="s">
        <v>1</v>
      </c>
      <c r="D3" s="1" t="s">
        <v>24</v>
      </c>
      <c r="E3" s="1" t="s">
        <v>4</v>
      </c>
      <c r="F3" s="1" t="s">
        <v>3</v>
      </c>
      <c r="G3" s="6" t="s">
        <v>2</v>
      </c>
      <c r="H3" s="1" t="s">
        <v>20</v>
      </c>
      <c r="I3" s="1" t="s">
        <v>23</v>
      </c>
      <c r="J3" s="1" t="s">
        <v>21</v>
      </c>
    </row>
    <row r="4" spans="1:10" x14ac:dyDescent="0.3">
      <c r="A4" s="5" t="s">
        <v>5</v>
      </c>
      <c r="B4" s="3">
        <v>1560000</v>
      </c>
      <c r="C4" s="3">
        <v>505100</v>
      </c>
      <c r="D4" s="3">
        <v>300000</v>
      </c>
      <c r="E4" s="3">
        <f>SUM(B16:B25)</f>
        <v>4990000</v>
      </c>
      <c r="G4" s="2">
        <v>4999900</v>
      </c>
      <c r="H4" s="4">
        <f>SUM(B4:G4)</f>
        <v>12355000</v>
      </c>
      <c r="I4" s="2">
        <v>10762186</v>
      </c>
      <c r="J4" s="4">
        <f>I4-H4</f>
        <v>-1592814</v>
      </c>
    </row>
    <row r="5" spans="1:10" x14ac:dyDescent="0.3">
      <c r="A5" s="5" t="s">
        <v>6</v>
      </c>
      <c r="B5" s="3">
        <v>625000</v>
      </c>
      <c r="C5" s="3">
        <v>732900</v>
      </c>
      <c r="D5" s="2">
        <v>300000</v>
      </c>
      <c r="E5" s="2">
        <f>SUM(C16:C25)</f>
        <v>7013698</v>
      </c>
      <c r="F5" s="7">
        <v>2385930</v>
      </c>
      <c r="G5" s="2">
        <v>2051110</v>
      </c>
      <c r="H5" s="4">
        <f>SUM(B5:G5)</f>
        <v>13108638</v>
      </c>
      <c r="I5" s="4">
        <v>11103015</v>
      </c>
      <c r="J5" s="4">
        <f>I5-H5</f>
        <v>-2005623</v>
      </c>
    </row>
    <row r="6" spans="1:10" x14ac:dyDescent="0.3">
      <c r="A6" s="1" t="s">
        <v>7</v>
      </c>
      <c r="B6" s="3">
        <v>1169700</v>
      </c>
      <c r="C6" s="3">
        <v>547500</v>
      </c>
      <c r="D6" s="3">
        <v>500000</v>
      </c>
      <c r="E6" s="3">
        <f>SUM(D16:D25)</f>
        <v>6264010</v>
      </c>
      <c r="F6" s="3">
        <v>1028140</v>
      </c>
      <c r="G6" s="2">
        <v>2610190</v>
      </c>
      <c r="H6" s="4">
        <f>SUM(B6:G6)</f>
        <v>12119540</v>
      </c>
      <c r="I6" s="3">
        <v>10940096</v>
      </c>
      <c r="J6" s="4">
        <f>I6-H6</f>
        <v>-1179444</v>
      </c>
    </row>
    <row r="7" spans="1:10" x14ac:dyDescent="0.3">
      <c r="A7" s="1" t="s">
        <v>8</v>
      </c>
      <c r="B7" s="3">
        <v>860000</v>
      </c>
      <c r="C7" s="3">
        <v>710100</v>
      </c>
      <c r="D7" s="3">
        <v>300000</v>
      </c>
      <c r="E7" s="3">
        <f>SUM(E16:E25)</f>
        <v>6423620</v>
      </c>
      <c r="F7" s="3">
        <v>824350</v>
      </c>
      <c r="H7" s="4">
        <f>SUM(B7:G7)</f>
        <v>9118070</v>
      </c>
    </row>
    <row r="8" spans="1:10" x14ac:dyDescent="0.3">
      <c r="A8" s="8" t="s">
        <v>22</v>
      </c>
      <c r="B8" s="8"/>
      <c r="C8" s="8"/>
      <c r="D8" s="8"/>
      <c r="E8" s="8"/>
      <c r="F8" s="8"/>
      <c r="G8" s="8"/>
      <c r="H8" s="8"/>
    </row>
    <row r="9" spans="1:10" x14ac:dyDescent="0.3">
      <c r="E9" s="4"/>
      <c r="F9" s="4"/>
      <c r="G9" s="4"/>
    </row>
    <row r="14" spans="1:10" x14ac:dyDescent="0.3">
      <c r="A14" s="1" t="s">
        <v>4</v>
      </c>
      <c r="B14" s="1"/>
      <c r="C14" s="1"/>
    </row>
    <row r="15" spans="1:10" x14ac:dyDescent="0.3">
      <c r="B15" s="1" t="s">
        <v>5</v>
      </c>
      <c r="C15" s="1" t="s">
        <v>6</v>
      </c>
      <c r="D15" s="1" t="s">
        <v>7</v>
      </c>
      <c r="E15" s="1" t="s">
        <v>8</v>
      </c>
      <c r="F15" s="1"/>
    </row>
    <row r="16" spans="1:10" x14ac:dyDescent="0.3">
      <c r="A16" s="1" t="s">
        <v>13</v>
      </c>
      <c r="B16" s="2">
        <v>2680000</v>
      </c>
      <c r="C16" s="2">
        <v>2583230</v>
      </c>
      <c r="D16" s="2">
        <v>2583230</v>
      </c>
      <c r="E16" s="2">
        <v>2583230</v>
      </c>
      <c r="F16" s="2"/>
    </row>
    <row r="17" spans="1:6" x14ac:dyDescent="0.3">
      <c r="A17" s="1" t="s">
        <v>9</v>
      </c>
      <c r="B17" s="2">
        <v>378700</v>
      </c>
      <c r="C17" s="2">
        <v>906860</v>
      </c>
      <c r="D17" s="2">
        <v>672470</v>
      </c>
      <c r="E17" s="2">
        <v>807970</v>
      </c>
      <c r="F17" s="2"/>
    </row>
    <row r="18" spans="1:6" x14ac:dyDescent="0.3">
      <c r="A18" s="1" t="s">
        <v>12</v>
      </c>
      <c r="B18" s="2">
        <v>1050000</v>
      </c>
      <c r="C18" s="2">
        <v>967420</v>
      </c>
      <c r="D18" s="2">
        <v>967420</v>
      </c>
      <c r="E18" s="2">
        <v>967420</v>
      </c>
      <c r="F18" s="2"/>
    </row>
    <row r="19" spans="1:6" x14ac:dyDescent="0.3">
      <c r="A19" s="1" t="s">
        <v>10</v>
      </c>
      <c r="B19" s="2">
        <v>240800</v>
      </c>
      <c r="C19" s="2">
        <v>684818</v>
      </c>
      <c r="D19" s="2">
        <v>434670</v>
      </c>
    </row>
    <row r="20" spans="1:6" x14ac:dyDescent="0.3">
      <c r="A20" s="1" t="s">
        <v>11</v>
      </c>
      <c r="B20" s="2">
        <v>160500</v>
      </c>
      <c r="C20" s="2">
        <v>450010</v>
      </c>
      <c r="D20" s="2">
        <v>327280</v>
      </c>
    </row>
    <row r="21" spans="1:6" x14ac:dyDescent="0.3">
      <c r="A21" s="1" t="s">
        <v>14</v>
      </c>
      <c r="B21" s="2"/>
      <c r="C21" s="2">
        <v>122760</v>
      </c>
      <c r="D21" s="2">
        <v>131580</v>
      </c>
      <c r="E21" s="2">
        <v>173880</v>
      </c>
      <c r="F21" s="2"/>
    </row>
    <row r="22" spans="1:6" x14ac:dyDescent="0.3">
      <c r="A22" s="1" t="s">
        <v>15</v>
      </c>
      <c r="B22" s="2"/>
      <c r="C22" s="2">
        <v>368190</v>
      </c>
      <c r="D22" s="2">
        <v>480690</v>
      </c>
      <c r="E22" s="2">
        <v>531830</v>
      </c>
      <c r="F22" s="2"/>
    </row>
    <row r="23" spans="1:6" x14ac:dyDescent="0.3">
      <c r="A23" s="1" t="s">
        <v>16</v>
      </c>
      <c r="B23" s="2"/>
      <c r="C23" s="2">
        <v>130410</v>
      </c>
      <c r="D23" s="2">
        <v>186670</v>
      </c>
      <c r="E23" s="2">
        <v>194340</v>
      </c>
      <c r="F23" s="2"/>
    </row>
    <row r="24" spans="1:6" x14ac:dyDescent="0.3">
      <c r="A24" s="1" t="s">
        <v>17</v>
      </c>
      <c r="B24" s="2"/>
      <c r="C24" s="2"/>
      <c r="D24" s="2"/>
      <c r="E24" s="2">
        <v>536950</v>
      </c>
      <c r="F24" s="2"/>
    </row>
    <row r="25" spans="1:6" x14ac:dyDescent="0.3">
      <c r="A25" s="1" t="s">
        <v>18</v>
      </c>
      <c r="B25" s="2">
        <v>480000</v>
      </c>
      <c r="C25" s="2">
        <v>800000</v>
      </c>
      <c r="D25" s="2">
        <v>480000</v>
      </c>
      <c r="E25" s="2">
        <v>628000</v>
      </c>
      <c r="F25" s="2"/>
    </row>
    <row r="26" spans="1:6" x14ac:dyDescent="0.3">
      <c r="A26" s="1" t="s">
        <v>19</v>
      </c>
      <c r="B26" s="2">
        <f>SUM(B16:B25)</f>
        <v>4990000</v>
      </c>
      <c r="C26" s="2">
        <f>SUM(C16:C25)</f>
        <v>7013698</v>
      </c>
      <c r="D26" s="2">
        <f>SUM(D16:D25)</f>
        <v>6264010</v>
      </c>
      <c r="E26" s="2">
        <f>SUM(E16:E25)</f>
        <v>6423620</v>
      </c>
      <c r="F26" s="2"/>
    </row>
  </sheetData>
  <mergeCells count="1">
    <mergeCell ref="A8:H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5500</dc:creator>
  <cp:lastModifiedBy>5500</cp:lastModifiedBy>
  <dcterms:created xsi:type="dcterms:W3CDTF">2026-04-17T03:06:12Z</dcterms:created>
  <dcterms:modified xsi:type="dcterms:W3CDTF">2026-04-17T06:17:51Z</dcterms:modified>
</cp:coreProperties>
</file>